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lculadora" state="visible" r:id="rId5"/>
  </sheets>
  <calcPr calcId="171027" fullCalcOnLoad="1"/>
</workbook>
</file>

<file path=xl/sharedStrings.xml><?xml version="1.0" encoding="utf-8"?>
<sst xmlns="http://schemas.openxmlformats.org/spreadsheetml/2006/main" count="65" uniqueCount="62">
  <si>
    <t>Calculadora de producción de tilapia</t>
  </si>
  <si>
    <t>AgroAcademy · Producción de tilapia: crianza, manejo y rentabilidad · módulo 8</t>
  </si>
  <si>
    <t/>
  </si>
  <si>
    <t>1. Vaya a la hoja «Calculadora» y escriba los datos de su ciclo en las celdas BLANCAS.</t>
  </si>
  <si>
    <t>2. Las celdas GRISES se calculan solas y están protegidas (sin contraseña: Revisar → Desproteger hoja, si necesita cambiarlas).</t>
  </si>
  <si>
    <t>3. Los valores en AMARILLO son el ejemplo ilustrativo del curso. Sustitúyalos por los de su proveedor, su comprador y su unidad.</t>
  </si>
  <si>
    <t>4. Si falta un dato esencial, la celda dice «falta dato» en vez de un número falso.</t>
  </si>
  <si>
    <t>Fórmulas (las mismas de la calculadora del curso):</t>
  </si>
  <si>
    <t>· Peces al final = alevines × (1 − mortalidad)</t>
  </si>
  <si>
    <t>· Biomasa comercial (kg) = peces al final × peso de cosecha (kg)</t>
  </si>
  <si>
    <t>· Alimento (kg) = (biomasa comercial − biomasa sembrada) × FCA, con biomasa sembrada = alevines × peso del alevín (g) ÷ 1,000</t>
  </si>
  <si>
    <t>· Costo total = alimento × precio del alimento + alevines × costo del alevín + otros costos operativos</t>
  </si>
  <si>
    <t>· Costo por kg = costo total ÷ biomasa comercial · Ingresos = biomasa × precio de venta · Margen operativo = ingresos − costo total</t>
  </si>
  <si>
    <t>· La inversión inicial va APARTE: no entra en el margen operativo. Se muestra cuántos ciclos tardaría en recuperarse.</t>
  </si>
  <si>
    <t>Todo resultado es una ESTIMACIÓN, no un resultado garantizado. Los importes de ejemplo no son cotizaciones del mercado dominicano.</t>
  </si>
  <si>
    <t>Calculadora de producción de tilapia (un ciclo)</t>
  </si>
  <si>
    <t>DATOS DE SU CICLO (celdas blancas; el amarillo es el ejemplo del curso)</t>
  </si>
  <si>
    <t>Número inicial de alevines</t>
  </si>
  <si>
    <t>alevines</t>
  </si>
  <si>
    <t>Mortalidad estimada del ciclo</t>
  </si>
  <si>
    <t>escriba 15 % (menor que 100 %)</t>
  </si>
  <si>
    <t>Peso promedio de cosecha (kg)</t>
  </si>
  <si>
    <t>450 g = 0.45 kg</t>
  </si>
  <si>
    <t>Peso del alevín al sembrar (g)</t>
  </si>
  <si>
    <t>gramos</t>
  </si>
  <si>
    <t>Conversión alimenticia estimada (FCA)</t>
  </si>
  <si>
    <t>kg de alimento por kg ganado (en tanques bien manejados se reporta 1.4 a 1.8, SRAC 282)</t>
  </si>
  <si>
    <t>Precio del alimento (RD$ por kg)</t>
  </si>
  <si>
    <t>su proveedor</t>
  </si>
  <si>
    <t>Costo de cada alevín (RD$)</t>
  </si>
  <si>
    <t>Otros costos operativos del ciclo (RD$)</t>
  </si>
  <si>
    <t>energía, agua, mano de obra, transporte, mantenimiento, hielo</t>
  </si>
  <si>
    <t>Precio de venta (RD$ por kg)</t>
  </si>
  <si>
    <t>el que le confirmen sus compradores</t>
  </si>
  <si>
    <t>Inversión inicial (RD$, aparte)</t>
  </si>
  <si>
    <t>tanque, aireador, planta y equipos (no entra en el margen)</t>
  </si>
  <si>
    <t>RESULTADOS (estimaciones)</t>
  </si>
  <si>
    <t>Peces estimados al final</t>
  </si>
  <si>
    <t>alevines × (1 − mortalidad)</t>
  </si>
  <si>
    <t>Biomasa comercial estimada (kg)</t>
  </si>
  <si>
    <t>peces × peso de cosecha</t>
  </si>
  <si>
    <t>Biomasa sembrada (kg)</t>
  </si>
  <si>
    <t>alevines × peso del alevín ÷ 1,000</t>
  </si>
  <si>
    <t>Alimento estimado (kg)</t>
  </si>
  <si>
    <t>(biomasa comercial − sembrada) × FCA</t>
  </si>
  <si>
    <t>Costo del alimento</t>
  </si>
  <si>
    <t>alimento × precio</t>
  </si>
  <si>
    <t>Costo de los alevines</t>
  </si>
  <si>
    <t>alevines × costo unitario</t>
  </si>
  <si>
    <t>Costo total proyectado</t>
  </si>
  <si>
    <t>alimento + alevines + otros</t>
  </si>
  <si>
    <t>Costo estimado por kg</t>
  </si>
  <si>
    <t>costo total ÷ biomasa</t>
  </si>
  <si>
    <t>Ingresos brutos estimados</t>
  </si>
  <si>
    <t>biomasa × precio de venta</t>
  </si>
  <si>
    <t>Margen operativo estimado</t>
  </si>
  <si>
    <t>ingresos − costo total (sin la inversión)</t>
  </si>
  <si>
    <t>Margen operativo (% de los ingresos)</t>
  </si>
  <si>
    <t>margen ÷ ingresos</t>
  </si>
  <si>
    <t>Ciclos para recuperar la inversión</t>
  </si>
  <si>
    <t>inversión ÷ margen, redondeado hacia arriba</t>
  </si>
  <si>
    <t>Ejemplo ilustrativo: los importes no son cotizaciones del mercado dominicano. Compare siempre con lo que de verdad pese y venda.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</si>
</sst>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00"/>
    <numFmt numFmtId="166" formatCode="#,##0.0"/>
    <numFmt numFmtId="167" formatCode="&quot;RD$&quot; #,##0.00"/>
    <numFmt numFmtId="168" formatCode="&quot;RD$&quot; #,##0"/>
  </numFmts>
  <fonts count="9" x14ac:knownFonts="1">
    <font>
      <color theme="1"/>
      <family val="2"/>
      <scheme val="minor"/>
      <sz val="11"/>
      <name val="Calibri"/>
    </font>
    <font>
      <b/>
      <color rgb="FF0B4F4A"/>
      <sz val="18"/>
    </font>
    <font>
      <i/>
      <color rgb="FF555555"/>
    </font>
    <font/>
    <font>
      <b/>
    </font>
    <font>
      <b/>
      <color rgb="FFFFFFFF"/>
      <sz val="16"/>
    </font>
    <font>
      <b/>
      <color rgb="FFFFFFFF"/>
    </font>
    <font>
      <i/>
      <color rgb="FF666666"/>
    </font>
    <font>
      <i/>
      <color rgb="FF8A6D00"/>
    </font>
  </fonts>
  <fills count="6">
    <fill>
      <patternFill patternType="none"/>
    </fill>
    <fill>
      <patternFill patternType="gray125"/>
    </fill>
    <fill>
      <patternFill patternType="solid">
        <fgColor rgb="FF0B4F4A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6" fillId="3" borderId="0" xfId="0" applyFont="1" applyFill="1"/>
    <xf numFmtId="0" fontId="0" fillId="0" borderId="1" xfId="0" applyBorder="1"/>
    <xf numFmtId="3" fontId="0" fillId="4" borderId="1" xfId="0" applyNumberFormat="1" applyFill="1" applyBorder="1" applyProtection="1">
      <protection locked="0"/>
    </xf>
    <xf numFmtId="0" fontId="7" fillId="0" borderId="1" xfId="0" applyFont="1" applyBorder="1"/>
    <xf numFmtId="164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166" fontId="0" fillId="4" borderId="1" xfId="0" applyNumberFormat="1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167" fontId="0" fillId="4" borderId="1" xfId="0" applyNumberFormat="1" applyFill="1" applyBorder="1" applyProtection="1">
      <protection locked="0"/>
    </xf>
    <xf numFmtId="168" fontId="0" fillId="4" borderId="1" xfId="0" applyNumberFormat="1" applyFill="1" applyBorder="1" applyProtection="1">
      <protection locked="0"/>
    </xf>
    <xf numFmtId="3" fontId="4" fillId="5" borderId="1" xfId="0" applyNumberFormat="1" applyFont="1" applyFill="1" applyBorder="1"/>
    <xf numFmtId="166" fontId="4" fillId="5" borderId="1" xfId="0" applyNumberFormat="1" applyFont="1" applyFill="1" applyBorder="1"/>
    <xf numFmtId="168" fontId="4" fillId="5" borderId="1" xfId="0" applyNumberFormat="1" applyFont="1" applyFill="1" applyBorder="1"/>
    <xf numFmtId="167" fontId="4" fillId="5" borderId="1" xfId="0" applyNumberFormat="1" applyFont="1" applyFill="1" applyBorder="1"/>
    <xf numFmtId="164" fontId="4" fillId="5" borderId="1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B1:B17"/>
  <sheetFormatPr defaultRowHeight="15" outlineLevelRow="0" outlineLevelCol="0" x14ac:dyDescent="55"/>
  <cols>
    <col min="1" max="1" width="4" customWidth="1"/>
    <col min="2" max="2" width="112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2</v>
      </c>
    </row>
    <row r="9" spans="2:2" x14ac:dyDescent="0.25">
      <c r="B9" s="4" t="s">
        <v>7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11</v>
      </c>
    </row>
    <row r="14" spans="2:2" x14ac:dyDescent="0.25">
      <c r="B14" s="3" t="s">
        <v>12</v>
      </c>
    </row>
    <row r="15" spans="2:2" x14ac:dyDescent="0.25">
      <c r="B15" s="3" t="s">
        <v>13</v>
      </c>
    </row>
    <row r="16" spans="2:2" x14ac:dyDescent="0.25">
      <c r="B16" s="3" t="s">
        <v>2</v>
      </c>
    </row>
    <row r="17" spans="2:2" x14ac:dyDescent="0.25">
      <c r="B17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C29"/>
  <sheetFormatPr defaultRowHeight="15" outlineLevelRow="0" outlineLevelCol="0" x14ac:dyDescent="55"/>
  <cols>
    <col min="1" max="1" width="52" customWidth="1"/>
    <col min="2" max="2" width="20" customWidth="1"/>
    <col min="3" max="3" width="70" customWidth="1"/>
  </cols>
  <sheetData>
    <row r="1" ht="26" customHeight="1" spans="1:3" x14ac:dyDescent="0.25">
      <c r="A1" s="5" t="s">
        <v>15</v>
      </c>
      <c r="B1" s="5"/>
      <c r="C1" s="5"/>
    </row>
    <row r="3" spans="1:3" x14ac:dyDescent="0.25">
      <c r="A3" s="6" t="s">
        <v>16</v>
      </c>
      <c r="B3" s="6"/>
      <c r="C3" s="6"/>
    </row>
    <row r="4" spans="1:3" x14ac:dyDescent="0.25">
      <c r="A4" s="7" t="s">
        <v>17</v>
      </c>
      <c r="B4" s="8">
        <v>1000</v>
      </c>
      <c r="C4" s="9" t="s">
        <v>18</v>
      </c>
    </row>
    <row r="5" spans="1:3" x14ac:dyDescent="0.25">
      <c r="A5" s="7" t="s">
        <v>19</v>
      </c>
      <c r="B5" s="10">
        <v>0.15</v>
      </c>
      <c r="C5" s="9" t="s">
        <v>20</v>
      </c>
    </row>
    <row r="6" spans="1:3" x14ac:dyDescent="0.25">
      <c r="A6" s="7" t="s">
        <v>21</v>
      </c>
      <c r="B6" s="11">
        <v>0.45</v>
      </c>
      <c r="C6" s="9" t="s">
        <v>22</v>
      </c>
    </row>
    <row r="7" spans="1:3" x14ac:dyDescent="0.25">
      <c r="A7" s="7" t="s">
        <v>23</v>
      </c>
      <c r="B7" s="12">
        <v>2</v>
      </c>
      <c r="C7" s="9" t="s">
        <v>24</v>
      </c>
    </row>
    <row r="8" spans="1:3" x14ac:dyDescent="0.25">
      <c r="A8" s="7" t="s">
        <v>25</v>
      </c>
      <c r="B8" s="13">
        <v>1.6</v>
      </c>
      <c r="C8" s="9" t="s">
        <v>26</v>
      </c>
    </row>
    <row r="9" spans="1:3" x14ac:dyDescent="0.25">
      <c r="A9" s="7" t="s">
        <v>27</v>
      </c>
      <c r="B9" s="14">
        <v>50</v>
      </c>
      <c r="C9" s="9" t="s">
        <v>28</v>
      </c>
    </row>
    <row r="10" spans="1:3" x14ac:dyDescent="0.25">
      <c r="A10" s="7" t="s">
        <v>29</v>
      </c>
      <c r="B10" s="14">
        <v>5</v>
      </c>
      <c r="C10" s="9" t="s">
        <v>28</v>
      </c>
    </row>
    <row r="11" spans="1:3" x14ac:dyDescent="0.25">
      <c r="A11" s="7" t="s">
        <v>30</v>
      </c>
      <c r="B11" s="15">
        <v>20000</v>
      </c>
      <c r="C11" s="9" t="s">
        <v>31</v>
      </c>
    </row>
    <row r="12" spans="1:3" x14ac:dyDescent="0.25">
      <c r="A12" s="7" t="s">
        <v>32</v>
      </c>
      <c r="B12" s="14">
        <v>200</v>
      </c>
      <c r="C12" s="9" t="s">
        <v>33</v>
      </c>
    </row>
    <row r="13" spans="1:3" x14ac:dyDescent="0.25">
      <c r="A13" s="7" t="s">
        <v>34</v>
      </c>
      <c r="B13" s="15">
        <v>150000</v>
      </c>
      <c r="C13" s="9" t="s">
        <v>35</v>
      </c>
    </row>
    <row r="15" spans="1:3" x14ac:dyDescent="0.25">
      <c r="A15" s="6" t="s">
        <v>36</v>
      </c>
      <c r="B15" s="6"/>
      <c r="C15" s="6"/>
    </row>
    <row r="16" spans="1:3" x14ac:dyDescent="0.25">
      <c r="A16" s="7" t="s">
        <v>37</v>
      </c>
      <c r="B16" s="16">
        <f>IF(OR(B4&lt;=0,B5&lt;0,B5&gt;=1,B6&lt;=0,B8&lt;=0,B12&lt;=0),"falta dato",B4*(1-B5))</f>
      </c>
      <c r="C16" s="9" t="s">
        <v>38</v>
      </c>
    </row>
    <row r="17" spans="1:3" x14ac:dyDescent="0.25">
      <c r="A17" s="7" t="s">
        <v>39</v>
      </c>
      <c r="B17" s="17">
        <f>IF(OR(B4&lt;=0,B5&lt;0,B5&gt;=1,B6&lt;=0,B8&lt;=0,B12&lt;=0),"falta dato",B16*B6)</f>
      </c>
      <c r="C17" s="9" t="s">
        <v>40</v>
      </c>
    </row>
    <row r="18" spans="1:3" x14ac:dyDescent="0.25">
      <c r="A18" s="7" t="s">
        <v>41</v>
      </c>
      <c r="B18" s="17">
        <f>IF(OR(B4&lt;=0,B5&lt;0,B5&gt;=1,B6&lt;=0,B8&lt;=0,B12&lt;=0),"falta dato",B4*B7/1000)</f>
      </c>
      <c r="C18" s="9" t="s">
        <v>42</v>
      </c>
    </row>
    <row r="19" spans="1:3" x14ac:dyDescent="0.25">
      <c r="A19" s="7" t="s">
        <v>43</v>
      </c>
      <c r="B19" s="17">
        <f>IF(OR(B4&lt;=0,B5&lt;0,B5&gt;=1,B6&lt;=0,B8&lt;=0,B12&lt;=0),"falta dato",MAX(0,B17-B18)*B8)</f>
      </c>
      <c r="C19" s="9" t="s">
        <v>44</v>
      </c>
    </row>
    <row r="20" spans="1:3" x14ac:dyDescent="0.25">
      <c r="A20" s="7" t="s">
        <v>45</v>
      </c>
      <c r="B20" s="18">
        <f>IF(OR(B4&lt;=0,B5&lt;0,B5&gt;=1,B6&lt;=0,B8&lt;=0,B12&lt;=0),"falta dato",B19*B9)</f>
      </c>
      <c r="C20" s="9" t="s">
        <v>46</v>
      </c>
    </row>
    <row r="21" spans="1:3" x14ac:dyDescent="0.25">
      <c r="A21" s="7" t="s">
        <v>47</v>
      </c>
      <c r="B21" s="18">
        <f>IF(OR(B4&lt;=0,B5&lt;0,B5&gt;=1,B6&lt;=0,B8&lt;=0,B12&lt;=0),"falta dato",B4*B10)</f>
      </c>
      <c r="C21" s="9" t="s">
        <v>48</v>
      </c>
    </row>
    <row r="22" spans="1:3" x14ac:dyDescent="0.25">
      <c r="A22" s="7" t="s">
        <v>49</v>
      </c>
      <c r="B22" s="18">
        <f>IF(OR(B4&lt;=0,B5&lt;0,B5&gt;=1,B6&lt;=0,B8&lt;=0,B12&lt;=0),"falta dato",B20+B21+B11)</f>
      </c>
      <c r="C22" s="9" t="s">
        <v>50</v>
      </c>
    </row>
    <row r="23" spans="1:3" x14ac:dyDescent="0.25">
      <c r="A23" s="7" t="s">
        <v>51</v>
      </c>
      <c r="B23" s="19">
        <f>IF(OR(B4&lt;=0,B5&lt;0,B5&gt;=1,B6&lt;=0,B8&lt;=0,B12&lt;=0),"falta dato",B22/B17)</f>
      </c>
      <c r="C23" s="9" t="s">
        <v>52</v>
      </c>
    </row>
    <row r="24" spans="1:3" x14ac:dyDescent="0.25">
      <c r="A24" s="7" t="s">
        <v>53</v>
      </c>
      <c r="B24" s="18">
        <f>IF(OR(B4&lt;=0,B5&lt;0,B5&gt;=1,B6&lt;=0,B8&lt;=0,B12&lt;=0),"falta dato",B17*B12)</f>
      </c>
      <c r="C24" s="9" t="s">
        <v>54</v>
      </c>
    </row>
    <row r="25" spans="1:3" x14ac:dyDescent="0.25">
      <c r="A25" s="7" t="s">
        <v>55</v>
      </c>
      <c r="B25" s="18">
        <f>IF(OR(B4&lt;=0,B5&lt;0,B5&gt;=1,B6&lt;=0,B8&lt;=0,B12&lt;=0),"falta dato",B24-B22)</f>
      </c>
      <c r="C25" s="9" t="s">
        <v>56</v>
      </c>
    </row>
    <row r="26" spans="1:3" x14ac:dyDescent="0.25">
      <c r="A26" s="7" t="s">
        <v>57</v>
      </c>
      <c r="B26" s="20">
        <f>IF(OR(B4&lt;=0,B5&lt;0,B5&gt;=1,B6&lt;=0,B8&lt;=0,B12&lt;=0),"falta dato",B25/B24)</f>
      </c>
      <c r="C26" s="9" t="s">
        <v>58</v>
      </c>
    </row>
    <row r="27" spans="1:3" x14ac:dyDescent="0.25">
      <c r="A27" s="7" t="s">
        <v>59</v>
      </c>
      <c r="B27" s="16">
        <f>IF(OR(B4&lt;=0,B5&lt;0,B5&gt;=1,B6&lt;=0,B8&lt;=0,B12&lt;=0),"falta dato",IF(B13&lt;=0,0,IF(B25&lt;=0,"no se recupera",ROUNDUP(B13/B25,0))))</f>
      </c>
      <c r="C27" s="9" t="s">
        <v>60</v>
      </c>
    </row>
    <row r="29" spans="1:3" x14ac:dyDescent="0.25">
      <c r="A29" s="21" t="s">
        <v>61</v>
      </c>
      <c r="B29" s="21"/>
      <c r="C29" s="21"/>
    </row>
  </sheetData>
  <sheetProtection sheet="1" formatColumns="0" formatRows="0"/>
  <mergeCells count="4">
    <mergeCell ref="A1:C1"/>
    <mergeCell ref="A3:C3"/>
    <mergeCell ref="A15:C15"/>
    <mergeCell ref="A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Calculadora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AgroAcademy</dc:creator>
  <dc:title>Calculadora de producción de tilapia</dc:title>
  <dc:subject/>
  <dc:description/>
  <cp:keywords/>
  <cp:category/>
  <cp:lastModifiedBy>Unknown</cp:lastModifiedBy>
  <dcterms:created xsi:type="dcterms:W3CDTF">2026-10-18T14:32:34Z</dcterms:created>
  <dcterms:modified xsi:type="dcterms:W3CDTF">2026-10-18T14:32:34Z</dcterms:modified>
</cp:coreProperties>
</file>