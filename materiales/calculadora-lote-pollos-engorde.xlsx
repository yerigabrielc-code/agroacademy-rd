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Calculadora" state="visible" r:id="rId5"/>
    <sheet sheetId="3" name="Capacidad y galpón" state="visible" r:id="rId6"/>
    <sheet sheetId="4" name="Presupuesto y equilibrio" state="visible" r:id="rId7"/>
    <sheet sheetId="5" name="Escenarios" state="visible" r:id="rId8"/>
  </sheets>
  <calcPr calcId="171027" fullCalcOnLoad="1"/>
</workbook>
</file>

<file path=xl/sharedStrings.xml><?xml version="1.0" encoding="utf-8"?>
<sst xmlns="http://schemas.openxmlformats.org/spreadsheetml/2006/main" count="137" uniqueCount="120">
  <si>
    <t>Calculadora básica del lote · Pollos de engorde</t>
  </si>
  <si>
    <t>Curso «Pollos de engorde: manejo y producción rentable» · AgroAcademy. Importes en pesos dominicanos (RD$).</t>
  </si>
  <si>
    <t/>
  </si>
  <si>
    <t>1. Abra la hoja «Calculadora» y escriba los datos de su lote en las celdas BLANCAS.</t>
  </si>
  <si>
    <t>2. Las celdas GRISES se calculan solas: costo total, costo por pollo, kg producidos, costo por kg, ingreso, beneficio y margen.</t>
  </si>
  <si>
    <t>3. Las celdas AMARILLAS traen un EJEMPLO ILUSTRATIVO (el lote del módulo 7). Sustituya esos valores por los costos y precios reales de su granja.</t>
  </si>
  <si>
    <t>4. Si falta un dato esencial, la celda dice «falta dato» en rojo en vez de inventar un número.</t>
  </si>
  <si>
    <t>5. Las fórmulas están protegidas sin contraseña: Revisar → Desproteger hoja, si quiere adaptarlas.</t>
  </si>
  <si>
    <t>Fórmulas: costo total = pollitos × costo por pollito + alimento × costo/kg + otros costos · pollos vendidos = pollitos − mortalidad</t>
  </si>
  <si>
    <t>kg vendidos = pollos vendidos × peso promedio · kg producidos = kg vendidos − kg que entraron · costo por pollo = costo total ÷ pollos vendidos</t>
  </si>
  <si>
    <t>costo por kg = costo total ÷ kg vendidos · ingreso = kg vendidos × precio · beneficio = ingreso − costo total · margen = beneficio ÷ ingreso</t>
  </si>
  <si>
    <t>PARTE 2 · SU PROYECTO (módulos 9 a 12)</t>
  </si>
  <si>
    <t>• «Capacidad y galpón»: lotes por año, pollos y kilos al año, área y largo del galpón, comederos, bebederos y niples (módulos 9 y 10).</t>
  </si>
  <si>
    <t>• «Presupuesto y equilibrio»: inversión inicial, precio y kilos de equilibrio, capital de trabajo, lotes y años para recuperar la inversión, y el flujo de caja semana a semana (módulo 11).</t>
  </si>
  <si>
    <t>• «Escenarios»: beneficio del lote con tres mortalidades y tres precios, en rojo, amarillo o verde (módulo 11).</t>
  </si>
  <si>
    <t>Todos los importes de ejemplo son ILUSTRATIVOS y no garantizan ganancias: use sus cotizaciones, sus costos y el precio que le ofrezcan sus compradores.</t>
  </si>
  <si>
    <t>Calculadora básica del lote</t>
  </si>
  <si>
    <t>Blanco = se escribe · Gris = se calcula solo · Amarillo = EJEMPLO ILUSTRATIVO: sustitúyalo por sus datos</t>
  </si>
  <si>
    <t>Datos del lote</t>
  </si>
  <si>
    <t>Número de pollitos</t>
  </si>
  <si>
    <t>Costo por pollito (RD$)</t>
  </si>
  <si>
    <t>Alimento consumido (kg)</t>
  </si>
  <si>
    <t>Costo del alimento (RD$/kg)</t>
  </si>
  <si>
    <t>Mortalidad (%)</t>
  </si>
  <si>
    <t>Escriba el porcentaje, por ejemplo 4 %</t>
  </si>
  <si>
    <t>Peso promedio de venta (kg)</t>
  </si>
  <si>
    <t>Peso del pollito al llegar (kg)</t>
  </si>
  <si>
    <t>Precio de venta (RD$/kg vivo)</t>
  </si>
  <si>
    <t>Otros costos del lote (RD$)</t>
  </si>
  <si>
    <t>Resultados</t>
  </si>
  <si>
    <t>Pollos vendidos</t>
  </si>
  <si>
    <t>Costo total del lote</t>
  </si>
  <si>
    <t>Costo por pollo vendido</t>
  </si>
  <si>
    <t>Kg vendidos</t>
  </si>
  <si>
    <t>Kg producidos</t>
  </si>
  <si>
    <t>Costo por kg</t>
  </si>
  <si>
    <t>Precio mínimo por kg para recuperar la inversión</t>
  </si>
  <si>
    <t>Ingreso</t>
  </si>
  <si>
    <t>Beneficio</t>
  </si>
  <si>
    <t>Margen</t>
  </si>
  <si>
    <t>Conversión alimenticia</t>
  </si>
  <si>
    <t>Capacidad anual y tamaño del galpón</t>
  </si>
  <si>
    <t>Amarillo = se escribe (trae un EJEMPLO ILUSTRATIVO: sustitúyalo por sus datos) · Gris = se calcula solo</t>
  </si>
  <si>
    <t>Datos (módulos 9 y 10)</t>
  </si>
  <si>
    <t>Pollitos por lote</t>
  </si>
  <si>
    <t>Semanas de crianza</t>
  </si>
  <si>
    <t>Semanas de vacío sanitario</t>
  </si>
  <si>
    <t>No lo recorte: protege al lote siguiente</t>
  </si>
  <si>
    <t>Mortalidad prevista (%)</t>
  </si>
  <si>
    <t>Peso de venta (kg)</t>
  </si>
  <si>
    <t>Densidad (pollos/m²)</t>
  </si>
  <si>
    <t>Más de 12 es alto para galpón abierto en clima cálido</t>
  </si>
  <si>
    <t>Ancho del galpón (m)</t>
  </si>
  <si>
    <t>Pollos por comedero de tolva</t>
  </si>
  <si>
    <t>Pollos por bebedero de campana</t>
  </si>
  <si>
    <t>Pollos por niple</t>
  </si>
  <si>
    <t>Semanas por ciclo</t>
  </si>
  <si>
    <t>Lotes por año (exacto)</t>
  </si>
  <si>
    <t>52 semanas ÷ ciclo</t>
  </si>
  <si>
    <t>Lotes para planificar</t>
  </si>
  <si>
    <t>redondeado hacia abajo</t>
  </si>
  <si>
    <t>Pollitos al año</t>
  </si>
  <si>
    <t>Pollos vendidos al año</t>
  </si>
  <si>
    <t>Kg vendidos al año</t>
  </si>
  <si>
    <t>Área de piso (m²)</t>
  </si>
  <si>
    <t>Largo del galpón (m)</t>
  </si>
  <si>
    <t>Comederos de tolva</t>
  </si>
  <si>
    <t>hacia arriba</t>
  </si>
  <si>
    <t>Bebederos de campana</t>
  </si>
  <si>
    <t>o bien niples</t>
  </si>
  <si>
    <t>Medidas y capacidades orientativas: confírmelas con su técnico, la guía de su línea y el fabricante del equipo.</t>
  </si>
  <si>
    <t>Presupuesto, punto de equilibrio y flujo de caja</t>
  </si>
  <si>
    <t>Inversión inicial (pida 2 cotizaciones por renglón)</t>
  </si>
  <si>
    <t>Galpón de 100 m²: estructura, techo y piso</t>
  </si>
  <si>
    <t>Malla, cortinas y puertas</t>
  </si>
  <si>
    <t>Comederos, bebederos, criadoras, balanza y termómetros</t>
  </si>
  <si>
    <t>Tanque, tubería y filtro de agua</t>
  </si>
  <si>
    <t>Instalación eléctrica y bombillos</t>
  </si>
  <si>
    <t>Bodega, pediluvio y cerca perimetral</t>
  </si>
  <si>
    <t>Inversión inicial total</t>
  </si>
  <si>
    <t>Datos de un lote</t>
  </si>
  <si>
    <t>Costo total del lote (RD$)</t>
  </si>
  <si>
    <t>Use la hoja «Calculadora»</t>
  </si>
  <si>
    <t>De eso, depreciación (RD$)</t>
  </si>
  <si>
    <t>Desgaste del galpón y del equipo</t>
  </si>
  <si>
    <t>Pollitos del lote</t>
  </si>
  <si>
    <t>Lotes al año</t>
  </si>
  <si>
    <t>Hoja «Capacidad y galpón»</t>
  </si>
  <si>
    <t>Reserva sobre el capital de trabajo (%)</t>
  </si>
  <si>
    <t>Precio de equilibrio (RD$/kg)</t>
  </si>
  <si>
    <t>Por debajo de este precio, el lote pierde</t>
  </si>
  <si>
    <t>Kg de equilibrio a su precio</t>
  </si>
  <si>
    <t>Ingreso del lote</t>
  </si>
  <si>
    <t>Beneficio del lote</t>
  </si>
  <si>
    <t>Capital de trabajo</t>
  </si>
  <si>
    <t>(costo − depreciación) × (1 + reserva)</t>
  </si>
  <si>
    <t>Caja que deja cada lote</t>
  </si>
  <si>
    <t>beneficio + depreciación</t>
  </si>
  <si>
    <t>Lotes para recuperar la inversión</t>
  </si>
  <si>
    <t>Años aproximados</t>
  </si>
  <si>
    <t>Flujo de caja de un lote (salidas de efectivo por semana)</t>
  </si>
  <si>
    <t>Sale (RD$)</t>
  </si>
  <si>
    <t>Saldo acumulado</t>
  </si>
  <si>
    <t>Semana 0 (pollitos, cama y preparación)</t>
  </si>
  <si>
    <t>Semana 1</t>
  </si>
  <si>
    <t>Semana 2</t>
  </si>
  <si>
    <t>Semana 3</t>
  </si>
  <si>
    <t>Semana 4</t>
  </si>
  <si>
    <t>Semana 5</t>
  </si>
  <si>
    <t>Semana 6</t>
  </si>
  <si>
    <t>Venta (entra el ingreso del lote)</t>
  </si>
  <si>
    <t>Punto más bajo del saldo</t>
  </si>
  <si>
    <t>Es el dinero mínimo que debe tener antes de empezar</t>
  </si>
  <si>
    <t>Si el comprador paga a 15 días, el punto bajo dura dos semanas más. EJEMPLO ILUSTRATIVO: no garantiza ganancias.</t>
  </si>
  <si>
    <t>¿Y si las cosas no salen como espero?</t>
  </si>
  <si>
    <t>Mortalidad ↓ · Precio RD$/kg →</t>
  </si>
  <si>
    <t>Beneficio del lote (RD$)</t>
  </si>
  <si>
    <t>Escriba sus mortalidades y precios</t>
  </si>
  <si>
    <t>Rojo = pierde · Amarillo = gana poco (menos de RD$ 15,000) · Verde = gana. Mire siempre la esquina de abajo a la izquierda.</t>
  </si>
  <si>
    <t>Beneficio = pollos vivos × peso × precio − costo. EJEMPLO ILUSTRATIVO: sustituya por los costos y precios reales de su granja.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</si>
</sst>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&quot;RD$&quot; #,##0.00"/>
    <numFmt numFmtId="165" formatCode="0.0%"/>
    <numFmt numFmtId="166" formatCode="0.000"/>
    <numFmt numFmtId="167" formatCode="&quot;RD$&quot; #,##0"/>
    <numFmt numFmtId="168" formatCode="#,##0.0"/>
    <numFmt numFmtId="169" formatCode="0.0"/>
    <numFmt numFmtId="170" formatCode="&quot;+RD$&quot; #,##0;&quot;−RD$&quot; #,##0"/>
  </numFmts>
  <fonts count="8" x14ac:knownFonts="1">
    <font>
      <color theme="1"/>
      <family val="2"/>
      <scheme val="minor"/>
      <sz val="11"/>
      <name val="Calibri"/>
    </font>
    <font>
      <b/>
      <color rgb="FF7C2D12"/>
      <sz val="18"/>
    </font>
    <font>
      <i/>
      <color rgb="FF52606D"/>
    </font>
    <font>
      <b/>
      <color rgb="FF7C2D12"/>
      <sz val="13"/>
    </font>
    <font>
      <b/>
      <color rgb="FF7C2D12"/>
      <sz val="16"/>
    </font>
    <font>
      <b/>
      <color rgb="FFC2410C"/>
      <sz val="10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FFF2CC"/>
      </patternFill>
    </fill>
    <fill>
      <patternFill patternType="solid">
        <fgColor rgb="FFEDEFF2"/>
      </patternFill>
    </fill>
  </fills>
  <borders count="2">
    <border>
      <left/>
      <right/>
      <top/>
      <bottom/>
      <diagonal/>
    </border>
    <border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0" fillId="0" borderId="1" xfId="0" applyBorder="1"/>
    <xf numFmtId="3" fontId="0" fillId="3" borderId="1" xfId="0" applyNumberFormat="1" applyFill="1" applyBorder="1" applyProtection="1">
      <protection locked="0"/>
    </xf>
    <xf numFmtId="164" fontId="0" fillId="3" borderId="1" xfId="0" applyNumberFormat="1" applyFill="1" applyBorder="1" applyProtection="1">
      <protection locked="0"/>
    </xf>
    <xf numFmtId="165" fontId="0" fillId="3" borderId="1" xfId="0" applyNumberFormat="1" applyFill="1" applyBorder="1" applyProtection="1">
      <protection locked="0"/>
    </xf>
    <xf numFmtId="0" fontId="2" fillId="0" borderId="0" xfId="0" applyFont="1"/>
    <xf numFmtId="2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7" fontId="0" fillId="3" borderId="1" xfId="0" applyNumberFormat="1" applyFill="1" applyBorder="1" applyProtection="1">
      <protection locked="0"/>
    </xf>
    <xf numFmtId="3" fontId="0" fillId="4" borderId="1" xfId="0" applyNumberFormat="1" applyFill="1" applyBorder="1" applyProtection="1"/>
    <xf numFmtId="167" fontId="0" fillId="4" borderId="1" xfId="0" applyNumberFormat="1" applyFill="1" applyBorder="1" applyProtection="1"/>
    <xf numFmtId="164" fontId="0" fillId="4" borderId="1" xfId="0" applyNumberFormat="1" applyFill="1" applyBorder="1" applyProtection="1"/>
    <xf numFmtId="168" fontId="0" fillId="4" borderId="1" xfId="0" applyNumberFormat="1" applyFill="1" applyBorder="1" applyProtection="1"/>
    <xf numFmtId="165" fontId="0" fillId="4" borderId="1" xfId="0" applyNumberFormat="1" applyFill="1" applyBorder="1" applyProtection="1"/>
    <xf numFmtId="2" fontId="0" fillId="4" borderId="1" xfId="0" applyNumberFormat="1" applyFill="1" applyBorder="1" applyProtection="1"/>
    <xf numFmtId="1" fontId="0" fillId="3" borderId="1" xfId="0" applyNumberFormat="1" applyFill="1" applyBorder="1" applyProtection="1">
      <protection locked="0"/>
    </xf>
    <xf numFmtId="169" fontId="0" fillId="3" borderId="1" xfId="0" applyNumberFormat="1" applyFill="1" applyBorder="1" applyProtection="1">
      <protection locked="0"/>
    </xf>
    <xf numFmtId="1" fontId="0" fillId="4" borderId="1" xfId="0" applyNumberFormat="1" applyFill="1" applyBorder="1" applyProtection="1"/>
    <xf numFmtId="169" fontId="0" fillId="4" borderId="1" xfId="0" applyNumberFormat="1" applyFill="1" applyBorder="1" applyProtection="1"/>
    <xf numFmtId="0" fontId="7" fillId="0" borderId="0" xfId="0" applyFont="1"/>
    <xf numFmtId="167" fontId="0" fillId="4" borderId="1" xfId="0" applyNumberFormat="1" applyFill="1" applyBorder="1"/>
    <xf numFmtId="167" fontId="7" fillId="3" borderId="1" xfId="0" applyNumberFormat="1" applyFont="1" applyFill="1" applyBorder="1" applyProtection="1">
      <protection locked="0"/>
    </xf>
    <xf numFmtId="165" fontId="7" fillId="3" borderId="1" xfId="0" applyNumberFormat="1" applyFont="1" applyFill="1" applyBorder="1" applyAlignment="1" applyProtection="1">
      <alignment horizontal="right"/>
      <protection locked="0"/>
    </xf>
    <xf numFmtId="170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0">
    <dxf>
      <font>
        <b/>
        <color rgb="FFC4544A"/>
      </font>
    </dxf>
    <dxf>
      <font>
        <b/>
        <color rgb="FFC4544A"/>
      </font>
    </dxf>
    <dxf>
      <font>
        <b/>
        <color rgb="FFC4544A"/>
      </font>
    </dxf>
    <dxf>
      <font>
        <b/>
        <color rgb="FFC4544A"/>
      </font>
    </dxf>
    <dxf>
      <font>
        <b/>
        <color rgb="FFC4544A"/>
      </font>
    </dxf>
    <dxf>
      <font>
        <color rgb="FFC4544A"/>
      </font>
    </dxf>
    <dxf>
      <fill>
        <patternFill patternType="solid">
          <bgColor rgb="FFF4D3D0"/>
        </patternFill>
      </fill>
    </dxf>
    <dxf>
      <fill>
        <patternFill patternType="solid">
          <bgColor rgb="FFF6E7C1"/>
        </patternFill>
      </fill>
    </dxf>
    <dxf>
      <fill>
        <patternFill patternType="solid">
          <bgColor rgb="FFD3EADB"/>
        </patternFill>
      </fill>
    </dxf>
    <dxf>
      <font>
        <b/>
        <color rgb="FFC4544A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2410C"/>
  </sheetPr>
  <dimension ref="B1:B18"/>
  <sheetFormatPr defaultRowHeight="15" outlineLevelRow="0" outlineLevelCol="0" x14ac:dyDescent="55"/>
  <cols>
    <col min="1" max="1" width="4" customWidth="1"/>
    <col min="2" max="2" width="110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3" spans="2:2" x14ac:dyDescent="0.25">
      <c r="B3" s="3" t="s">
        <v>2</v>
      </c>
    </row>
    <row r="4" spans="2:2" x14ac:dyDescent="0.25">
      <c r="B4" s="3" t="s">
        <v>3</v>
      </c>
    </row>
    <row r="5" spans="2:2" x14ac:dyDescent="0.25">
      <c r="B5" s="3" t="s">
        <v>4</v>
      </c>
    </row>
    <row r="6" spans="2:2" x14ac:dyDescent="0.25">
      <c r="B6" s="3" t="s">
        <v>5</v>
      </c>
    </row>
    <row r="7" spans="2:2" x14ac:dyDescent="0.25">
      <c r="B7" s="3" t="s">
        <v>6</v>
      </c>
    </row>
    <row r="8" spans="2:2" x14ac:dyDescent="0.25">
      <c r="B8" s="3" t="s">
        <v>7</v>
      </c>
    </row>
    <row r="9" spans="2:2" x14ac:dyDescent="0.25">
      <c r="B9" s="3" t="s">
        <v>2</v>
      </c>
    </row>
    <row r="10" spans="2:2" x14ac:dyDescent="0.25">
      <c r="B10" s="3" t="s">
        <v>8</v>
      </c>
    </row>
    <row r="11" spans="2:2" x14ac:dyDescent="0.25">
      <c r="B11" s="3" t="s">
        <v>9</v>
      </c>
    </row>
    <row r="12" spans="2:2" x14ac:dyDescent="0.25">
      <c r="B12" s="3" t="s">
        <v>10</v>
      </c>
    </row>
    <row r="13" spans="2:2" x14ac:dyDescent="0.25">
      <c r="B13" s="3" t="s">
        <v>2</v>
      </c>
    </row>
    <row r="14" spans="2:2" x14ac:dyDescent="0.25">
      <c r="B14" s="4" t="s">
        <v>11</v>
      </c>
    </row>
    <row r="15" spans="2:2" x14ac:dyDescent="0.25">
      <c r="B15" s="3" t="s">
        <v>12</v>
      </c>
    </row>
    <row r="16" spans="2:2" x14ac:dyDescent="0.25">
      <c r="B16" s="3" t="s">
        <v>13</v>
      </c>
    </row>
    <row r="17" spans="2:2" x14ac:dyDescent="0.25">
      <c r="B17" s="3" t="s">
        <v>14</v>
      </c>
    </row>
    <row r="18" spans="2:2" x14ac:dyDescent="0.25">
      <c r="B18" s="2" t="s">
        <v>15</v>
      </c>
    </row>
  </sheetData>
  <sheetProtection sheet="1" formatColumns="0" formatRows="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D4F"/>
  </sheetPr>
  <dimension ref="A1:C25"/>
  <sheetFormatPr defaultRowHeight="15" outlineLevelRow="0" outlineLevelCol="0" x14ac:dyDescent="55"/>
  <cols>
    <col min="1" max="1" width="40" customWidth="1"/>
    <col min="2" max="2" width="20" customWidth="1"/>
    <col min="3" max="3" width="52" customWidth="1"/>
  </cols>
  <sheetData>
    <row r="1" spans="1:1" x14ac:dyDescent="0.25">
      <c r="A1" s="5" t="s">
        <v>16</v>
      </c>
    </row>
    <row r="2" spans="1:1" x14ac:dyDescent="0.25">
      <c r="A2" s="6" t="s">
        <v>17</v>
      </c>
    </row>
    <row r="4" spans="1:2" x14ac:dyDescent="0.25">
      <c r="A4" s="7" t="s">
        <v>18</v>
      </c>
      <c r="B4" s="7"/>
    </row>
    <row r="5" spans="1:2" x14ac:dyDescent="0.25">
      <c r="A5" s="8" t="s">
        <v>19</v>
      </c>
      <c r="B5" s="9">
        <v>500</v>
      </c>
    </row>
    <row r="6" spans="1:2" x14ac:dyDescent="0.25">
      <c r="A6" s="8" t="s">
        <v>20</v>
      </c>
      <c r="B6" s="10">
        <v>60</v>
      </c>
    </row>
    <row r="7" spans="1:2" x14ac:dyDescent="0.25">
      <c r="A7" s="8" t="s">
        <v>21</v>
      </c>
      <c r="B7" s="9">
        <v>2000</v>
      </c>
    </row>
    <row r="8" spans="1:2" x14ac:dyDescent="0.25">
      <c r="A8" s="8" t="s">
        <v>22</v>
      </c>
      <c r="B8" s="10">
        <v>34</v>
      </c>
    </row>
    <row r="9" spans="1:3" x14ac:dyDescent="0.25">
      <c r="A9" s="8" t="s">
        <v>23</v>
      </c>
      <c r="B9" s="11">
        <v>0.04</v>
      </c>
      <c r="C9" s="12" t="s">
        <v>24</v>
      </c>
    </row>
    <row r="10" spans="1:2" x14ac:dyDescent="0.25">
      <c r="A10" s="8" t="s">
        <v>25</v>
      </c>
      <c r="B10" s="13">
        <v>2.3</v>
      </c>
    </row>
    <row r="11" spans="1:2" x14ac:dyDescent="0.25">
      <c r="A11" s="8" t="s">
        <v>26</v>
      </c>
      <c r="B11" s="14">
        <v>0.04</v>
      </c>
    </row>
    <row r="12" spans="1:2" x14ac:dyDescent="0.25">
      <c r="A12" s="8" t="s">
        <v>27</v>
      </c>
      <c r="B12" s="10">
        <v>120</v>
      </c>
    </row>
    <row r="13" spans="1:2" x14ac:dyDescent="0.25">
      <c r="A13" s="8" t="s">
        <v>28</v>
      </c>
      <c r="B13" s="15">
        <v>22000</v>
      </c>
    </row>
    <row r="15" spans="1:2" x14ac:dyDescent="0.25">
      <c r="A15" s="7" t="s">
        <v>29</v>
      </c>
      <c r="B15" s="7"/>
    </row>
    <row r="16" spans="1:2" x14ac:dyDescent="0.25">
      <c r="A16" s="8" t="s">
        <v>30</v>
      </c>
      <c r="B16" s="16">
        <f>IF(B5="","falta dato",ROUND(B5*(1-IF(B9="",0,B9)),0))</f>
      </c>
    </row>
    <row r="17" spans="1:2" x14ac:dyDescent="0.25">
      <c r="A17" s="8" t="s">
        <v>31</v>
      </c>
      <c r="B17" s="17">
        <f>IF(OR(B5="",B6="",B7="",B8=""),"falta dato",B5*B6+B7*B8+IF(B13="",0,B13))</f>
      </c>
    </row>
    <row r="18" spans="1:2" x14ac:dyDescent="0.25">
      <c r="A18" s="8" t="s">
        <v>32</v>
      </c>
      <c r="B18" s="18">
        <f>IF(OR(NOT(ISNUMBER(B16)),NOT(ISNUMBER(B17))),"falta dato",IF(B16&lt;=0,"falta dato",B17/B16))</f>
      </c>
    </row>
    <row r="19" spans="1:2" x14ac:dyDescent="0.25">
      <c r="A19" s="8" t="s">
        <v>33</v>
      </c>
      <c r="B19" s="19">
        <f>IF(OR(NOT(ISNUMBER(B16)),B10=""),"falta dato",B16*B10)</f>
      </c>
    </row>
    <row r="20" spans="1:2" x14ac:dyDescent="0.25">
      <c r="A20" s="8" t="s">
        <v>34</v>
      </c>
      <c r="B20" s="19">
        <f>IF(OR(NOT(ISNUMBER(B19)),B5="",B11=""),"falta dato",B19-B5*B11)</f>
      </c>
    </row>
    <row r="21" spans="1:3" x14ac:dyDescent="0.25">
      <c r="A21" s="8" t="s">
        <v>35</v>
      </c>
      <c r="B21" s="18">
        <f>IF(OR(NOT(ISNUMBER(B17)),NOT(ISNUMBER(B19))),"falta dato",IF(B19&lt;=0,"falta dato",B17/B19))</f>
      </c>
      <c r="C21" s="12" t="s">
        <v>36</v>
      </c>
    </row>
    <row r="22" spans="1:2" x14ac:dyDescent="0.25">
      <c r="A22" s="8" t="s">
        <v>37</v>
      </c>
      <c r="B22" s="17">
        <f>IF(OR(NOT(ISNUMBER(B19)),B12=""),"falta dato",B19*B12)</f>
      </c>
    </row>
    <row r="23" spans="1:2" x14ac:dyDescent="0.25">
      <c r="A23" s="8" t="s">
        <v>38</v>
      </c>
      <c r="B23" s="17">
        <f>IF(OR(NOT(ISNUMBER(B22)),NOT(ISNUMBER(B17))),"falta dato",B22-B17)</f>
      </c>
    </row>
    <row r="24" spans="1:2" x14ac:dyDescent="0.25">
      <c r="A24" s="8" t="s">
        <v>39</v>
      </c>
      <c r="B24" s="20">
        <f>IF(NOT(ISNUMBER(B23)),"falta dato",IF(B22&lt;=0,"falta dato",B23/B22))</f>
      </c>
    </row>
    <row r="25" spans="1:2" x14ac:dyDescent="0.25">
      <c r="A25" s="8" t="s">
        <v>40</v>
      </c>
      <c r="B25" s="21">
        <f>IF(OR(B7="",NOT(ISNUMBER(B20))),"falta dato",IF(B20&lt;=0,"falta dato",B7/B20))</f>
      </c>
    </row>
  </sheetData>
  <sheetProtection sheet="1" formatColumns="0" formatRows="0"/>
  <conditionalFormatting sqref="B16:B25">
    <cfRule type="containsText" dxfId="0" priority="1">
      <formula>NOT(ISERROR(SEARCH("falta",B16)))</formula>
    </cfRule>
  </conditionalFormatting>
  <dataValidations count="2">
    <dataValidation type="decimal" operator="greaterThanOrEqual" allowBlank="1" showErrorMessage="1" errorTitle="Número" error="No puede ser negativo." sqref="B5:B13">
      <formula1>0</formula1>
    </dataValidation>
    <dataValidation type="decimal" allowBlank="1" showErrorMessage="1" errorTitle="Mortalidad" error="Escriba un porcentaje entre 0 % y 100 %." sqref="B9">
      <formula1>0</formula1>
      <formula2>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6F8B"/>
  </sheetPr>
  <dimension ref="A1:C29"/>
  <sheetFormatPr defaultRowHeight="15" outlineLevelRow="0" outlineLevelCol="0" x14ac:dyDescent="55"/>
  <cols>
    <col min="1" max="1" width="44" customWidth="1"/>
    <col min="2" max="4" width="20" customWidth="1"/>
    <col min="5" max="5" width="46" customWidth="1"/>
  </cols>
  <sheetData>
    <row r="1" spans="1:1" x14ac:dyDescent="0.25">
      <c r="A1" s="5" t="s">
        <v>41</v>
      </c>
    </row>
    <row r="2" spans="1:1" x14ac:dyDescent="0.25">
      <c r="A2" s="6" t="s">
        <v>42</v>
      </c>
    </row>
    <row r="4" spans="1:2" x14ac:dyDescent="0.25">
      <c r="A4" s="7" t="s">
        <v>43</v>
      </c>
      <c r="B4" s="7"/>
    </row>
    <row r="5" spans="1:2" x14ac:dyDescent="0.25">
      <c r="A5" s="8" t="s">
        <v>44</v>
      </c>
      <c r="B5" s="9">
        <v>1000</v>
      </c>
    </row>
    <row r="6" spans="1:2" x14ac:dyDescent="0.25">
      <c r="A6" s="8" t="s">
        <v>45</v>
      </c>
      <c r="B6" s="22">
        <v>6</v>
      </c>
    </row>
    <row r="7" spans="1:3" x14ac:dyDescent="0.25">
      <c r="A7" s="8" t="s">
        <v>46</v>
      </c>
      <c r="B7" s="22">
        <v>2</v>
      </c>
      <c r="C7" s="12" t="s">
        <v>47</v>
      </c>
    </row>
    <row r="8" spans="1:2" x14ac:dyDescent="0.25">
      <c r="A8" s="8" t="s">
        <v>48</v>
      </c>
      <c r="B8" s="11">
        <v>0.04</v>
      </c>
    </row>
    <row r="9" spans="1:2" x14ac:dyDescent="0.25">
      <c r="A9" s="8" t="s">
        <v>49</v>
      </c>
      <c r="B9" s="13">
        <v>2.3</v>
      </c>
    </row>
    <row r="10" spans="1:3" x14ac:dyDescent="0.25">
      <c r="A10" s="8" t="s">
        <v>50</v>
      </c>
      <c r="B10" s="23">
        <v>10</v>
      </c>
      <c r="C10" s="12" t="s">
        <v>51</v>
      </c>
    </row>
    <row r="11" spans="1:2" x14ac:dyDescent="0.25">
      <c r="A11" s="8" t="s">
        <v>52</v>
      </c>
      <c r="B11" s="23">
        <v>8</v>
      </c>
    </row>
    <row r="12" spans="1:2" x14ac:dyDescent="0.25">
      <c r="A12" s="8" t="s">
        <v>53</v>
      </c>
      <c r="B12" s="22">
        <v>30</v>
      </c>
    </row>
    <row r="13" spans="1:2" x14ac:dyDescent="0.25">
      <c r="A13" s="8" t="s">
        <v>54</v>
      </c>
      <c r="B13" s="22">
        <v>80</v>
      </c>
    </row>
    <row r="14" spans="1:2" x14ac:dyDescent="0.25">
      <c r="A14" s="8" t="s">
        <v>55</v>
      </c>
      <c r="B14" s="22">
        <v>12</v>
      </c>
    </row>
    <row r="16" spans="1:2" x14ac:dyDescent="0.25">
      <c r="A16" s="7" t="s">
        <v>29</v>
      </c>
      <c r="B16" s="7"/>
    </row>
    <row r="17" spans="1:2" x14ac:dyDescent="0.25">
      <c r="A17" s="8" t="s">
        <v>56</v>
      </c>
      <c r="B17" s="24">
        <f>IF(OR(B6="",B7=""),"falta dato",IFERROR(B6+B7,"falta dato"))</f>
      </c>
    </row>
    <row r="18" spans="1:3" x14ac:dyDescent="0.25">
      <c r="A18" s="8" t="s">
        <v>57</v>
      </c>
      <c r="B18" s="25">
        <f>IF(OR(B17=""),"falta dato",IFERROR(52/B17,"falta dato"))</f>
      </c>
      <c r="C18" s="12" t="s">
        <v>58</v>
      </c>
    </row>
    <row r="19" spans="1:3" x14ac:dyDescent="0.25">
      <c r="A19" s="8" t="s">
        <v>59</v>
      </c>
      <c r="B19" s="24">
        <f>IF(OR(B18=""),"falta dato",IFERROR(ROUNDDOWN(B18,0),"falta dato"))</f>
      </c>
      <c r="C19" s="12" t="s">
        <v>60</v>
      </c>
    </row>
    <row r="20" spans="1:2" x14ac:dyDescent="0.25">
      <c r="A20" s="8" t="s">
        <v>61</v>
      </c>
      <c r="B20" s="16">
        <f>IF(OR(B5="",B19=""),"falta dato",IFERROR(B5*B19,"falta dato"))</f>
      </c>
    </row>
    <row r="21" spans="1:2" x14ac:dyDescent="0.25">
      <c r="A21" s="8" t="s">
        <v>62</v>
      </c>
      <c r="B21" s="16">
        <f>IF(OR(B5="",B19=""),"falta dato",IFERROR(ROUND(B5*(1-B8),0)*B19,"falta dato"))</f>
      </c>
    </row>
    <row r="22" spans="1:2" x14ac:dyDescent="0.25">
      <c r="A22" s="8" t="s">
        <v>63</v>
      </c>
      <c r="B22" s="16">
        <f>IF(OR(B21="",B9=""),"falta dato",IFERROR(B21*B9,"falta dato"))</f>
      </c>
    </row>
    <row r="23" spans="1:2" x14ac:dyDescent="0.25">
      <c r="A23" s="8" t="s">
        <v>64</v>
      </c>
      <c r="B23" s="19">
        <f>IF(OR(B5="",B10=""),"falta dato",IFERROR(B5/B10,"falta dato"))</f>
      </c>
    </row>
    <row r="24" spans="1:2" x14ac:dyDescent="0.25">
      <c r="A24" s="8" t="s">
        <v>65</v>
      </c>
      <c r="B24" s="19">
        <f>IF(OR(B23="",B11=""),"falta dato",IFERROR(B23/B11,"falta dato"))</f>
      </c>
    </row>
    <row r="25" spans="1:3" x14ac:dyDescent="0.25">
      <c r="A25" s="8" t="s">
        <v>66</v>
      </c>
      <c r="B25" s="16">
        <f>IF(OR(B5="",B12=""),"falta dato",IFERROR(ROUNDUP(B5/B12,0),"falta dato"))</f>
      </c>
      <c r="C25" s="12" t="s">
        <v>67</v>
      </c>
    </row>
    <row r="26" spans="1:3" x14ac:dyDescent="0.25">
      <c r="A26" s="8" t="s">
        <v>68</v>
      </c>
      <c r="B26" s="16">
        <f>IF(OR(B5="",B13=""),"falta dato",IFERROR(ROUNDUP(B5/B13,0),"falta dato"))</f>
      </c>
      <c r="C26" s="12" t="s">
        <v>67</v>
      </c>
    </row>
    <row r="27" spans="1:3" x14ac:dyDescent="0.25">
      <c r="A27" s="8" t="s">
        <v>69</v>
      </c>
      <c r="B27" s="16">
        <f>IF(OR(B5="",B14=""),"falta dato",IFERROR(ROUNDUP(B5/B14,0),"falta dato"))</f>
      </c>
      <c r="C27" s="12" t="s">
        <v>67</v>
      </c>
    </row>
    <row r="29" spans="1:1" x14ac:dyDescent="0.25">
      <c r="A29" s="12" t="s">
        <v>70</v>
      </c>
    </row>
  </sheetData>
  <sheetProtection sheet="1" formatColumns="0" formatRows="0"/>
  <conditionalFormatting sqref="B17:B27">
    <cfRule type="containsText" dxfId="9" priority="1">
      <formula>NOT(ISERROR(SEARCH("falta",B17)))</formula>
    </cfRule>
  </conditionalFormatting>
  <dataValidations count="2">
    <dataValidation type="decimal" operator="greaterThanOrEqual" allowBlank="1" showErrorMessage="1" errorTitle="Número" error="No puede ser negativo." sqref="B5:B14">
      <formula1>0</formula1>
    </dataValidation>
    <dataValidation type="decimal" allowBlank="1" showErrorMessage="1" errorTitle="Mortalidad" error="Escriba un porcentaje entre 0 % y 100 %." sqref="B8">
      <formula1>0</formula1>
      <formula2>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A6D14"/>
  </sheetPr>
  <dimension ref="A1:C47"/>
  <sheetFormatPr defaultRowHeight="15" outlineLevelRow="0" outlineLevelCol="0" x14ac:dyDescent="55"/>
  <cols>
    <col min="1" max="1" width="44" customWidth="1"/>
    <col min="2" max="4" width="20" customWidth="1"/>
    <col min="5" max="5" width="46" customWidth="1"/>
  </cols>
  <sheetData>
    <row r="1" spans="1:1" x14ac:dyDescent="0.25">
      <c r="A1" s="5" t="s">
        <v>71</v>
      </c>
    </row>
    <row r="2" spans="1:1" x14ac:dyDescent="0.25">
      <c r="A2" s="6" t="s">
        <v>42</v>
      </c>
    </row>
    <row r="4" spans="1:2" x14ac:dyDescent="0.25">
      <c r="A4" s="7" t="s">
        <v>72</v>
      </c>
      <c r="B4" s="7"/>
    </row>
    <row r="5" spans="1:2" x14ac:dyDescent="0.25">
      <c r="A5" s="8" t="s">
        <v>73</v>
      </c>
      <c r="B5" s="15">
        <v>300000</v>
      </c>
    </row>
    <row r="6" spans="1:2" x14ac:dyDescent="0.25">
      <c r="A6" s="8" t="s">
        <v>74</v>
      </c>
      <c r="B6" s="15">
        <v>25000</v>
      </c>
    </row>
    <row r="7" spans="1:2" x14ac:dyDescent="0.25">
      <c r="A7" s="8" t="s">
        <v>75</v>
      </c>
      <c r="B7" s="15">
        <v>60000</v>
      </c>
    </row>
    <row r="8" spans="1:2" x14ac:dyDescent="0.25">
      <c r="A8" s="8" t="s">
        <v>76</v>
      </c>
      <c r="B8" s="15">
        <v>20000</v>
      </c>
    </row>
    <row r="9" spans="1:2" x14ac:dyDescent="0.25">
      <c r="A9" s="8" t="s">
        <v>77</v>
      </c>
      <c r="B9" s="15">
        <v>15000</v>
      </c>
    </row>
    <row r="10" spans="1:2" x14ac:dyDescent="0.25">
      <c r="A10" s="8" t="s">
        <v>78</v>
      </c>
      <c r="B10" s="15">
        <v>30000</v>
      </c>
    </row>
    <row r="11" spans="1:2" x14ac:dyDescent="0.25">
      <c r="A11" s="8" t="s">
        <v>79</v>
      </c>
      <c r="B11" s="17">
        <f>SUM(B5:B10)</f>
      </c>
    </row>
    <row r="13" spans="1:2" x14ac:dyDescent="0.25">
      <c r="A13" s="7" t="s">
        <v>80</v>
      </c>
      <c r="B13" s="7"/>
    </row>
    <row r="14" spans="1:3" x14ac:dyDescent="0.25">
      <c r="A14" s="8" t="s">
        <v>81</v>
      </c>
      <c r="B14" s="15">
        <v>240000</v>
      </c>
      <c r="C14" s="12" t="s">
        <v>82</v>
      </c>
    </row>
    <row r="15" spans="1:3" x14ac:dyDescent="0.25">
      <c r="A15" s="8" t="s">
        <v>83</v>
      </c>
      <c r="B15" s="15">
        <v>4000</v>
      </c>
      <c r="C15" s="12" t="s">
        <v>84</v>
      </c>
    </row>
    <row r="16" spans="1:2" x14ac:dyDescent="0.25">
      <c r="A16" s="8" t="s">
        <v>85</v>
      </c>
      <c r="B16" s="9">
        <v>1000</v>
      </c>
    </row>
    <row r="17" spans="1:2" x14ac:dyDescent="0.25">
      <c r="A17" s="8" t="s">
        <v>23</v>
      </c>
      <c r="B17" s="11">
        <v>0.04</v>
      </c>
    </row>
    <row r="18" spans="1:2" x14ac:dyDescent="0.25">
      <c r="A18" s="8" t="s">
        <v>49</v>
      </c>
      <c r="B18" s="13">
        <v>2.3</v>
      </c>
    </row>
    <row r="19" spans="1:2" x14ac:dyDescent="0.25">
      <c r="A19" s="8" t="s">
        <v>27</v>
      </c>
      <c r="B19" s="10">
        <v>120</v>
      </c>
    </row>
    <row r="20" spans="1:3" x14ac:dyDescent="0.25">
      <c r="A20" s="8" t="s">
        <v>86</v>
      </c>
      <c r="B20" s="22">
        <v>6</v>
      </c>
      <c r="C20" s="12" t="s">
        <v>87</v>
      </c>
    </row>
    <row r="21" spans="1:2" x14ac:dyDescent="0.25">
      <c r="A21" s="8" t="s">
        <v>88</v>
      </c>
      <c r="B21" s="11">
        <v>0.1</v>
      </c>
    </row>
    <row r="23" spans="1:2" x14ac:dyDescent="0.25">
      <c r="A23" s="7" t="s">
        <v>29</v>
      </c>
      <c r="B23" s="7"/>
    </row>
    <row r="24" spans="1:2" x14ac:dyDescent="0.25">
      <c r="A24" s="8" t="s">
        <v>30</v>
      </c>
      <c r="B24" s="16">
        <f>IF(OR(B16=""),"falta dato",IFERROR(ROUND(B16*(1-B17),0),"falta dato"))</f>
      </c>
    </row>
    <row r="25" spans="1:2" x14ac:dyDescent="0.25">
      <c r="A25" s="8" t="s">
        <v>33</v>
      </c>
      <c r="B25" s="19">
        <f>IF(OR(B24="",B18=""),"falta dato",IFERROR(B24*B18,"falta dato"))</f>
      </c>
    </row>
    <row r="26" spans="1:3" x14ac:dyDescent="0.25">
      <c r="A26" s="8" t="s">
        <v>89</v>
      </c>
      <c r="B26" s="18">
        <f>IF(OR(B14="",B25=""),"falta dato",IFERROR(B14/B25,"falta dato"))</f>
      </c>
      <c r="C26" s="12" t="s">
        <v>90</v>
      </c>
    </row>
    <row r="27" spans="1:2" x14ac:dyDescent="0.25">
      <c r="A27" s="8" t="s">
        <v>91</v>
      </c>
      <c r="B27" s="16">
        <f>IF(OR(B14="",B19=""),"falta dato",IFERROR(B14/B19,"falta dato"))</f>
      </c>
    </row>
    <row r="28" spans="1:2" x14ac:dyDescent="0.25">
      <c r="A28" s="8" t="s">
        <v>92</v>
      </c>
      <c r="B28" s="17">
        <f>IF(OR(B25="",B19=""),"falta dato",IFERROR(B25*B19,"falta dato"))</f>
      </c>
    </row>
    <row r="29" spans="1:2" x14ac:dyDescent="0.25">
      <c r="A29" s="8" t="s">
        <v>93</v>
      </c>
      <c r="B29" s="17">
        <f>IF(OR(B28="",B14=""),"falta dato",IFERROR(B28-B14,"falta dato"))</f>
      </c>
    </row>
    <row r="30" spans="1:3" x14ac:dyDescent="0.25">
      <c r="A30" s="8" t="s">
        <v>94</v>
      </c>
      <c r="B30" s="17">
        <f>IF(OR(B14=""),"falta dato",IFERROR((B14-B15)*(1+B21),"falta dato"))</f>
      </c>
      <c r="C30" s="12" t="s">
        <v>95</v>
      </c>
    </row>
    <row r="31" spans="1:3" x14ac:dyDescent="0.25">
      <c r="A31" s="8" t="s">
        <v>96</v>
      </c>
      <c r="B31" s="17">
        <f>IF(OR(B29=""),"falta dato",IFERROR(B29+B15,"falta dato"))</f>
      </c>
      <c r="C31" s="12" t="s">
        <v>97</v>
      </c>
    </row>
    <row r="32" spans="1:2" x14ac:dyDescent="0.25">
      <c r="A32" s="8" t="s">
        <v>98</v>
      </c>
      <c r="B32" s="25">
        <f>IF(OR(B31=""),"falta dato",IFERROR(IF(B31&lt;=0,"no se recupera",B11/B31),"falta dato"))</f>
      </c>
    </row>
    <row r="33" spans="1:2" x14ac:dyDescent="0.25">
      <c r="A33" s="8" t="s">
        <v>99</v>
      </c>
      <c r="B33" s="25">
        <f>IF(OR(B32="",B20=""),"falta dato",IFERROR(IF(ISNUMBER(B32),B32/B20,"no se recupera"),"falta dato"))</f>
      </c>
    </row>
    <row r="35" spans="1:3" x14ac:dyDescent="0.25">
      <c r="A35" s="7" t="s">
        <v>100</v>
      </c>
      <c r="B35" s="7"/>
      <c r="C35" s="7"/>
    </row>
    <row r="36" spans="2:3" x14ac:dyDescent="0.25">
      <c r="B36" s="26" t="s">
        <v>101</v>
      </c>
      <c r="C36" s="26" t="s">
        <v>102</v>
      </c>
    </row>
    <row r="37" spans="1:3" x14ac:dyDescent="0.25">
      <c r="A37" s="8" t="s">
        <v>103</v>
      </c>
      <c r="B37" s="15">
        <v>72000</v>
      </c>
      <c r="C37" s="27">
        <f>-B37</f>
      </c>
    </row>
    <row r="38" spans="1:3" x14ac:dyDescent="0.25">
      <c r="A38" s="8" t="s">
        <v>104</v>
      </c>
      <c r="B38" s="15">
        <v>10000</v>
      </c>
      <c r="C38" s="27">
        <f>C37-B38</f>
      </c>
    </row>
    <row r="39" spans="1:3" x14ac:dyDescent="0.25">
      <c r="A39" s="8" t="s">
        <v>105</v>
      </c>
      <c r="B39" s="15">
        <v>17000</v>
      </c>
      <c r="C39" s="27">
        <f>C38-B39</f>
      </c>
    </row>
    <row r="40" spans="1:3" x14ac:dyDescent="0.25">
      <c r="A40" s="8" t="s">
        <v>106</v>
      </c>
      <c r="B40" s="15">
        <v>27000</v>
      </c>
      <c r="C40" s="27">
        <f>C39-B40</f>
      </c>
    </row>
    <row r="41" spans="1:3" x14ac:dyDescent="0.25">
      <c r="A41" s="8" t="s">
        <v>107</v>
      </c>
      <c r="B41" s="15">
        <v>38000</v>
      </c>
      <c r="C41" s="27">
        <f>C40-B41</f>
      </c>
    </row>
    <row r="42" spans="1:3" x14ac:dyDescent="0.25">
      <c r="A42" s="8" t="s">
        <v>108</v>
      </c>
      <c r="B42" s="15">
        <v>44000</v>
      </c>
      <c r="C42" s="27">
        <f>C41-B42</f>
      </c>
    </row>
    <row r="43" spans="1:3" x14ac:dyDescent="0.25">
      <c r="A43" s="8" t="s">
        <v>109</v>
      </c>
      <c r="B43" s="15">
        <v>28000</v>
      </c>
      <c r="C43" s="27">
        <f>C42-B43</f>
      </c>
    </row>
    <row r="44" spans="1:3" x14ac:dyDescent="0.25">
      <c r="A44" s="8" t="s">
        <v>110</v>
      </c>
      <c r="B44" s="27">
        <f>IF(ISNUMBER(B28),B28,0)</f>
      </c>
      <c r="C44" s="27">
        <f>C43+B44</f>
      </c>
    </row>
    <row r="45" spans="1:3" x14ac:dyDescent="0.25">
      <c r="A45" s="8" t="s">
        <v>111</v>
      </c>
      <c r="B45" s="17">
        <f>MIN(C37:C43)</f>
      </c>
      <c r="C45" s="12" t="s">
        <v>112</v>
      </c>
    </row>
    <row r="47" spans="1:1" x14ac:dyDescent="0.25">
      <c r="A47" s="12" t="s">
        <v>113</v>
      </c>
    </row>
  </sheetData>
  <sheetProtection sheet="1" formatColumns="0" formatRows="0"/>
  <conditionalFormatting sqref="B24:B33">
    <cfRule type="containsText" dxfId="9" priority="1">
      <formula>NOT(ISERROR(SEARCH("falta",B24)))</formula>
    </cfRule>
    <cfRule type="containsText" dxfId="3" priority="1">
      <formula>NOT(ISERROR(SEARCH("no se recupera",B24)))</formula>
    </cfRule>
  </conditionalFormatting>
  <conditionalFormatting sqref="B29">
    <cfRule type="cellIs" dxfId="4" priority="2" operator="lessThan">
      <formula>0</formula>
    </cfRule>
  </conditionalFormatting>
  <conditionalFormatting sqref="C37:C44">
    <cfRule type="cellIs" dxfId="5" priority="3" operator="lessThan">
      <formula>0</formula>
    </cfRule>
  </conditionalFormatting>
  <dataValidations count="2">
    <dataValidation type="decimal" operator="greaterThanOrEqual" allowBlank="1" showErrorMessage="1" errorTitle="Número" error="No puede ser negativo." sqref="B37:B43">
      <formula1>0</formula1>
    </dataValidation>
    <dataValidation type="decimal" operator="greaterThanOrEqual" allowBlank="1" showErrorMessage="1" errorTitle="Número" error="No puede ser negativo." sqref="B5:B2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2318"/>
  </sheetPr>
  <dimension ref="A1:D16"/>
  <sheetFormatPr defaultRowHeight="15" outlineLevelRow="0" outlineLevelCol="0" x14ac:dyDescent="55"/>
  <cols>
    <col min="1" max="1" width="44" customWidth="1"/>
    <col min="2" max="4" width="20" customWidth="1"/>
    <col min="5" max="5" width="46" customWidth="1"/>
  </cols>
  <sheetData>
    <row r="1" spans="1:1" x14ac:dyDescent="0.25">
      <c r="A1" s="5" t="s">
        <v>114</v>
      </c>
    </row>
    <row r="2" spans="1:1" x14ac:dyDescent="0.25">
      <c r="A2" s="6" t="s">
        <v>42</v>
      </c>
    </row>
    <row r="4" spans="1:2" x14ac:dyDescent="0.25">
      <c r="A4" s="7" t="s">
        <v>18</v>
      </c>
      <c r="B4" s="7"/>
    </row>
    <row r="5" spans="1:2" x14ac:dyDescent="0.25">
      <c r="A5" s="8" t="s">
        <v>85</v>
      </c>
      <c r="B5" s="9">
        <v>1000</v>
      </c>
    </row>
    <row r="6" spans="1:2" x14ac:dyDescent="0.25">
      <c r="A6" s="8" t="s">
        <v>49</v>
      </c>
      <c r="B6" s="13">
        <v>2.3</v>
      </c>
    </row>
    <row r="7" spans="1:2" x14ac:dyDescent="0.25">
      <c r="A7" s="8" t="s">
        <v>81</v>
      </c>
      <c r="B7" s="15">
        <v>240000</v>
      </c>
    </row>
    <row r="9" spans="1:4" x14ac:dyDescent="0.25">
      <c r="A9" s="7" t="s">
        <v>115</v>
      </c>
      <c r="B9" s="7" t="s">
        <v>116</v>
      </c>
      <c r="C9" s="7"/>
      <c r="D9" s="7"/>
    </row>
    <row r="10" spans="1:4" x14ac:dyDescent="0.25">
      <c r="A10" s="12" t="s">
        <v>117</v>
      </c>
      <c r="B10" s="28">
        <v>105</v>
      </c>
      <c r="C10" s="28">
        <v>115</v>
      </c>
      <c r="D10" s="28">
        <v>125</v>
      </c>
    </row>
    <row r="11" spans="1:4" x14ac:dyDescent="0.25">
      <c r="A11" s="29">
        <v>0.03</v>
      </c>
      <c r="B11" s="30">
        <f>IF(OR($B$5="",$B$6="",$B$7="",$A11="",B$10=""),"falta dato",IFERROR(ROUND($B$5*(1-$A11),0)*$B$6*B$10-$B$7,"falta dato"))</f>
      </c>
      <c r="C11" s="30">
        <f>IF(OR($B$5="",$B$6="",$B$7="",$A11="",C$10=""),"falta dato",IFERROR(ROUND($B$5*(1-$A11),0)*$B$6*C$10-$B$7,"falta dato"))</f>
      </c>
      <c r="D11" s="30">
        <f>IF(OR($B$5="",$B$6="",$B$7="",$A11="",D$10=""),"falta dato",IFERROR(ROUND($B$5*(1-$A11),0)*$B$6*D$10-$B$7,"falta dato"))</f>
      </c>
    </row>
    <row r="12" spans="1:4" x14ac:dyDescent="0.25">
      <c r="A12" s="29">
        <v>0.06</v>
      </c>
      <c r="B12" s="30">
        <f>IF(OR($B$5="",$B$6="",$B$7="",$A12="",B$10=""),"falta dato",IFERROR(ROUND($B$5*(1-$A12),0)*$B$6*B$10-$B$7,"falta dato"))</f>
      </c>
      <c r="C12" s="30">
        <f>IF(OR($B$5="",$B$6="",$B$7="",$A12="",C$10=""),"falta dato",IFERROR(ROUND($B$5*(1-$A12),0)*$B$6*C$10-$B$7,"falta dato"))</f>
      </c>
      <c r="D12" s="30">
        <f>IF(OR($B$5="",$B$6="",$B$7="",$A12="",D$10=""),"falta dato",IFERROR(ROUND($B$5*(1-$A12),0)*$B$6*D$10-$B$7,"falta dato"))</f>
      </c>
    </row>
    <row r="13" spans="1:4" x14ac:dyDescent="0.25">
      <c r="A13" s="29">
        <v>0.1</v>
      </c>
      <c r="B13" s="30">
        <f>IF(OR($B$5="",$B$6="",$B$7="",$A13="",B$10=""),"falta dato",IFERROR(ROUND($B$5*(1-$A13),0)*$B$6*B$10-$B$7,"falta dato"))</f>
      </c>
      <c r="C13" s="30">
        <f>IF(OR($B$5="",$B$6="",$B$7="",$A13="",C$10=""),"falta dato",IFERROR(ROUND($B$5*(1-$A13),0)*$B$6*C$10-$B$7,"falta dato"))</f>
      </c>
      <c r="D13" s="30">
        <f>IF(OR($B$5="",$B$6="",$B$7="",$A13="",D$10=""),"falta dato",IFERROR(ROUND($B$5*(1-$A13),0)*$B$6*D$10-$B$7,"falta dato"))</f>
      </c>
    </row>
    <row r="15" spans="1:1" x14ac:dyDescent="0.25">
      <c r="A15" s="12" t="s">
        <v>118</v>
      </c>
    </row>
    <row r="16" spans="1:1" x14ac:dyDescent="0.25">
      <c r="A16" s="12" t="s">
        <v>119</v>
      </c>
    </row>
  </sheetData>
  <sheetProtection sheet="1" formatColumns="0" formatRows="0"/>
  <conditionalFormatting sqref="B11:D13">
    <cfRule type="cellIs" dxfId="6" priority="1" operator="lessThan">
      <formula>0</formula>
    </cfRule>
    <cfRule type="cellIs" dxfId="7" priority="2" operator="between">
      <formula>0</formula>
      <formula>14999.99</formula>
    </cfRule>
    <cfRule type="cellIs" dxfId="8" priority="3" operator="greaterThanOrEqual">
      <formula>15000</formula>
    </cfRule>
    <cfRule type="containsText" dxfId="9" priority="1">
      <formula>NOT(ISERROR(SEARCH("falta",B11)))</formula>
    </cfRule>
  </conditionalFormatting>
  <dataValidations count="1">
    <dataValidation type="decimal" operator="greaterThanOrEqual" allowBlank="1" showErrorMessage="1" errorTitle="Número" error="No puede ser negativo." sqref="B5:B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Calculadora</vt:lpstr>
      <vt:lpstr>Capacidad y galpón</vt:lpstr>
      <vt:lpstr>Presupuesto y equilibrio</vt:lpstr>
      <vt:lpstr>Escenarios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AgroAcademy</dc:creator>
  <dc:title>Calculadora básica del lote · Pollos de engorde</dc:title>
  <dc:subject/>
  <dc:description/>
  <cp:keywords/>
  <cp:category/>
  <cp:lastModifiedBy>Unknown</cp:lastModifiedBy>
  <dcterms:created xsi:type="dcterms:W3CDTF">2026-10-14T21:17:51Z</dcterms:created>
  <dcterms:modified xsi:type="dcterms:W3CDTF">2026-10-14T21:17:51Z</dcterms:modified>
</cp:coreProperties>
</file>