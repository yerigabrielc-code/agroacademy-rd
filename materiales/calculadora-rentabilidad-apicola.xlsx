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lculadora" state="visible" r:id="rId5"/>
  </sheets>
  <calcPr calcId="171027" fullCalcOnLoad="1"/>
</workbook>
</file>

<file path=xl/sharedStrings.xml><?xml version="1.0" encoding="utf-8"?>
<sst xmlns="http://schemas.openxmlformats.org/spreadsheetml/2006/main" count="51" uniqueCount="47">
  <si>
    <t>Calculadora básica de rentabilidad apícola</t>
  </si>
  <si>
    <t>Curso «Apicultura: producción de miel y manejo de colmenas» · AgroAcademy. Importes en pesos dominicanos (RD$).</t>
  </si>
  <si>
    <t/>
  </si>
  <si>
    <t>1. Abra la hoja «Calculadora» y escriba los datos de su apiario en las celdas BLANCAS.</t>
  </si>
  <si>
    <t>2. Las celdas GRISES se calculan solas: producción total, costo total, costo por kg, ingreso, beneficio, margen, inventario e indicadores de colonias.</t>
  </si>
  <si>
    <t>3. Las celdas AMARILLAS traen un EJEMPLO ILUSTRATIVO (el apiario de 10 colmenas del módulo 8). Sustituya esos valores por los datos reales de su apiario.</t>
  </si>
  <si>
    <t>4. La producción por colmena es un SUPUESTO: cámbiela por lo que realmente cosecha. Si falta un dato esencial, la celda dice «falta dato» en rojo.</t>
  </si>
  <si>
    <t>5. Las fórmulas están protegidas sin contraseña: Revisar → Desproteger hoja, si quiere adaptarlas.</t>
  </si>
  <si>
    <t>Fórmulas: producción total = colmenas × kg por colmena · costo anual del equipo = inversión inicial ÷ años de uso</t>
  </si>
  <si>
    <t>costo total = costo anual del equipo + mantenimiento + envases + otros costos · costo por kg = costo total ÷ producción total</t>
  </si>
  <si>
    <t>ingreso = kg vendidos × precio · beneficio = ingreso − costo total · margen = beneficio ÷ ingreso · inventario = producción − vendido</t>
  </si>
  <si>
    <t>Los resultados son orientativos: dependen de los datos que escriba. Ningún precio ni rendimiento está garantizado.</t>
  </si>
  <si>
    <t>Blanco = se escribe · Gris = se calcula solo · Amarillo = EJEMPLO ILUSTRATIVO: sustitúyalo por sus datos</t>
  </si>
  <si>
    <t>Datos del apiario (un año)</t>
  </si>
  <si>
    <t>Número de colmenas</t>
  </si>
  <si>
    <t>Producción por colmena (kg, supuesto)</t>
  </si>
  <si>
    <t>Supuesto: cámbielo por lo que realmente cosecha</t>
  </si>
  <si>
    <t>Inversión inicial: colmenas y equipo (RD$)</t>
  </si>
  <si>
    <t>Años de uso del equipo</t>
  </si>
  <si>
    <t>Para repartir la inversión en los años que dura</t>
  </si>
  <si>
    <t>Mantenimiento y alimentación del año (RD$)</t>
  </si>
  <si>
    <t>Costo de envases y etiquetas (RD$)</t>
  </si>
  <si>
    <t>Otros costos: transporte, mano de obra, pérdidas (RD$)</t>
  </si>
  <si>
    <t>Precio de venta (RD$/kg)</t>
  </si>
  <si>
    <t>Cantidad vendida (kg)</t>
  </si>
  <si>
    <t>Resultados</t>
  </si>
  <si>
    <t>Producción total (kg)</t>
  </si>
  <si>
    <t>Costo anual del equipo</t>
  </si>
  <si>
    <t>Costo total del año</t>
  </si>
  <si>
    <t>Costo por kg</t>
  </si>
  <si>
    <t>Por debajo de este precio, cada kilo vendido pierde dinero</t>
  </si>
  <si>
    <t>Kg vendidos (no más que la producción)</t>
  </si>
  <si>
    <t>Ingreso</t>
  </si>
  <si>
    <t>Beneficio</t>
  </si>
  <si>
    <t>Margen</t>
  </si>
  <si>
    <t>Inventario (kg por vender)</t>
  </si>
  <si>
    <t>Miel que le queda por vender</t>
  </si>
  <si>
    <t>Indicadores de colonias</t>
  </si>
  <si>
    <t>Colmenas al inicio del año</t>
  </si>
  <si>
    <t>Colonias activas hoy</t>
  </si>
  <si>
    <t>Colonias débiles</t>
  </si>
  <si>
    <t>Miel cosechada (kg)</t>
  </si>
  <si>
    <t>Resultados de colonias</t>
  </si>
  <si>
    <t>Pérdidas de colonias</t>
  </si>
  <si>
    <t>(colmenas al inicio − activas) ÷ colmenas al inicio</t>
  </si>
  <si>
    <t>Débiles ÷ activas</t>
  </si>
  <si>
    <t>Kg por colmena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</si>
</sst>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&quot;RD$&quot; #,##0"/>
    <numFmt numFmtId="166" formatCode="&quot;RD$&quot; #,##0.00"/>
    <numFmt numFmtId="167" formatCode="0.0%"/>
  </numFmts>
  <fonts count="6" x14ac:knownFonts="1">
    <font>
      <color theme="1"/>
      <family val="2"/>
      <scheme val="minor"/>
      <sz val="11"/>
      <name val="Calibri"/>
    </font>
    <font>
      <b/>
      <color rgb="FF6B4206"/>
      <sz val="18"/>
    </font>
    <font>
      <i/>
      <color rgb="FF52606D"/>
    </font>
    <font>
      <b/>
      <color rgb="FF6B4206"/>
      <sz val="16"/>
    </font>
    <font>
      <b/>
      <color rgb="FFA16207"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A16207"/>
      </patternFill>
    </fill>
    <fill>
      <patternFill patternType="solid">
        <fgColor rgb="FFFFF2CC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1" xfId="0" applyBorder="1"/>
    <xf numFmtId="3" fontId="0" fillId="3" borderId="1" xfId="0" applyNumberForma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2" fillId="0" borderId="0" xfId="0" applyFont="1"/>
    <xf numFmtId="165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4" fontId="0" fillId="4" borderId="1" xfId="0" applyNumberFormat="1" applyFill="1" applyBorder="1" applyProtection="1"/>
    <xf numFmtId="165" fontId="0" fillId="4" borderId="1" xfId="0" applyNumberFormat="1" applyFill="1" applyBorder="1" applyProtection="1"/>
    <xf numFmtId="166" fontId="0" fillId="4" borderId="1" xfId="0" applyNumberFormat="1" applyFill="1" applyBorder="1" applyProtection="1"/>
    <xf numFmtId="167" fontId="0" fillId="4" borderId="1" xfId="0" applyNumberFormat="1" applyFill="1" applyBorder="1" applyProtection="1"/>
  </cellXfs>
  <cellStyles count="1">
    <cellStyle name="Normal" xfId="0" builtinId="0"/>
  </cellStyles>
  <dxfs count="2">
    <dxf>
      <font>
        <b/>
        <color rgb="FFC4544A"/>
      </font>
    </dxf>
    <dxf>
      <font>
        <b/>
        <color rgb="FFC4544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16207"/>
  </sheetPr>
  <dimension ref="B1:B14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7</v>
      </c>
    </row>
    <row r="9" spans="2:2" x14ac:dyDescent="0.25">
      <c r="B9" s="3" t="s">
        <v>2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2</v>
      </c>
    </row>
    <row r="14" spans="2:2" x14ac:dyDescent="0.25">
      <c r="B14" s="2" t="s">
        <v>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D4F"/>
  </sheetPr>
  <dimension ref="A1:C36"/>
  <sheetFormatPr defaultRowHeight="15" outlineLevelRow="0" outlineLevelCol="0" x14ac:dyDescent="55"/>
  <cols>
    <col min="1" max="1" width="52" customWidth="1"/>
    <col min="2" max="2" width="20" customWidth="1"/>
    <col min="3" max="3" width="56" customWidth="1"/>
  </cols>
  <sheetData>
    <row r="1" spans="1:1" x14ac:dyDescent="0.25">
      <c r="A1" s="4" t="s">
        <v>0</v>
      </c>
    </row>
    <row r="2" spans="1:1" x14ac:dyDescent="0.25">
      <c r="A2" s="5" t="s">
        <v>12</v>
      </c>
    </row>
    <row r="4" spans="1:2" x14ac:dyDescent="0.25">
      <c r="A4" s="6" t="s">
        <v>13</v>
      </c>
      <c r="B4" s="6"/>
    </row>
    <row r="5" spans="1:2" x14ac:dyDescent="0.25">
      <c r="A5" s="7" t="s">
        <v>14</v>
      </c>
      <c r="B5" s="8">
        <v>10</v>
      </c>
    </row>
    <row r="6" spans="1:3" x14ac:dyDescent="0.25">
      <c r="A6" s="7" t="s">
        <v>15</v>
      </c>
      <c r="B6" s="9">
        <v>20</v>
      </c>
      <c r="C6" s="10" t="s">
        <v>16</v>
      </c>
    </row>
    <row r="7" spans="1:2" x14ac:dyDescent="0.25">
      <c r="A7" s="7" t="s">
        <v>17</v>
      </c>
      <c r="B7" s="11">
        <v>150000</v>
      </c>
    </row>
    <row r="8" spans="1:3" x14ac:dyDescent="0.25">
      <c r="A8" s="7" t="s">
        <v>18</v>
      </c>
      <c r="B8" s="8">
        <v>5</v>
      </c>
      <c r="C8" s="10" t="s">
        <v>19</v>
      </c>
    </row>
    <row r="9" spans="1:2" x14ac:dyDescent="0.25">
      <c r="A9" s="7" t="s">
        <v>20</v>
      </c>
      <c r="B9" s="11">
        <v>20000</v>
      </c>
    </row>
    <row r="10" spans="1:2" x14ac:dyDescent="0.25">
      <c r="A10" s="7" t="s">
        <v>21</v>
      </c>
      <c r="B10" s="11">
        <v>9000</v>
      </c>
    </row>
    <row r="11" spans="1:2" x14ac:dyDescent="0.25">
      <c r="A11" s="7" t="s">
        <v>22</v>
      </c>
      <c r="B11" s="11">
        <v>21000</v>
      </c>
    </row>
    <row r="12" spans="1:2" x14ac:dyDescent="0.25">
      <c r="A12" s="7" t="s">
        <v>23</v>
      </c>
      <c r="B12" s="12">
        <v>550</v>
      </c>
    </row>
    <row r="13" spans="1:2" x14ac:dyDescent="0.25">
      <c r="A13" s="7" t="s">
        <v>24</v>
      </c>
      <c r="B13" s="9">
        <v>180</v>
      </c>
    </row>
    <row r="15" spans="1:2" x14ac:dyDescent="0.25">
      <c r="A15" s="6" t="s">
        <v>25</v>
      </c>
      <c r="B15" s="6"/>
    </row>
    <row r="16" spans="1:2" x14ac:dyDescent="0.25">
      <c r="A16" s="7" t="s">
        <v>26</v>
      </c>
      <c r="B16" s="13">
        <f>IF(OR(B5="",B6=""),"falta dato",B5*B6)</f>
      </c>
    </row>
    <row r="17" spans="1:2" x14ac:dyDescent="0.25">
      <c r="A17" s="7" t="s">
        <v>27</v>
      </c>
      <c r="B17" s="14">
        <f>IF(B7="",0,IF(OR(B8="",B8&lt;=0),"falta dato",B7/B8))</f>
      </c>
    </row>
    <row r="18" spans="1:2" x14ac:dyDescent="0.25">
      <c r="A18" s="7" t="s">
        <v>28</v>
      </c>
      <c r="B18" s="14">
        <f>IF(NOT(ISNUMBER(B17)),"falta dato",B17+SUM(B9:B11))</f>
      </c>
    </row>
    <row r="19" spans="1:3" x14ac:dyDescent="0.25">
      <c r="A19" s="7" t="s">
        <v>29</v>
      </c>
      <c r="B19" s="15">
        <f>IF(OR(NOT(ISNUMBER(B16)),NOT(ISNUMBER(B18))),"falta dato",IF(B16&lt;=0,"falta dato",B18/B16))</f>
      </c>
      <c r="C19" s="10" t="s">
        <v>30</v>
      </c>
    </row>
    <row r="20" spans="1:2" x14ac:dyDescent="0.25">
      <c r="A20" s="7" t="s">
        <v>31</v>
      </c>
      <c r="B20" s="13">
        <f>IF(OR(NOT(ISNUMBER(B16)),B13=""),"falta dato",MIN(B13,B16))</f>
      </c>
    </row>
    <row r="21" spans="1:2" x14ac:dyDescent="0.25">
      <c r="A21" s="7" t="s">
        <v>32</v>
      </c>
      <c r="B21" s="14">
        <f>IF(OR(NOT(ISNUMBER(B20)),B12=""),"falta dato",B20*B12)</f>
      </c>
    </row>
    <row r="22" spans="1:2" x14ac:dyDescent="0.25">
      <c r="A22" s="7" t="s">
        <v>33</v>
      </c>
      <c r="B22" s="14">
        <f>IF(OR(NOT(ISNUMBER(B21)),NOT(ISNUMBER(B18))),"falta dato",B21-B18)</f>
      </c>
    </row>
    <row r="23" spans="1:2" x14ac:dyDescent="0.25">
      <c r="A23" s="7" t="s">
        <v>34</v>
      </c>
      <c r="B23" s="16">
        <f>IF(NOT(ISNUMBER(B22)),"falta dato",IF(B21&lt;=0,"falta dato",B22/B21))</f>
      </c>
    </row>
    <row r="24" spans="1:3" x14ac:dyDescent="0.25">
      <c r="A24" s="7" t="s">
        <v>35</v>
      </c>
      <c r="B24" s="13">
        <f>IF(NOT(ISNUMBER(B20)),"falta dato",B16-B20)</f>
      </c>
      <c r="C24" s="10" t="s">
        <v>36</v>
      </c>
    </row>
    <row r="27" spans="1:2" x14ac:dyDescent="0.25">
      <c r="A27" s="6" t="s">
        <v>37</v>
      </c>
      <c r="B27" s="6"/>
    </row>
    <row r="28" spans="1:2" x14ac:dyDescent="0.25">
      <c r="A28" s="7" t="s">
        <v>38</v>
      </c>
      <c r="B28" s="8">
        <v>12</v>
      </c>
    </row>
    <row r="29" spans="1:2" x14ac:dyDescent="0.25">
      <c r="A29" s="7" t="s">
        <v>39</v>
      </c>
      <c r="B29" s="8">
        <v>10</v>
      </c>
    </row>
    <row r="30" spans="1:2" x14ac:dyDescent="0.25">
      <c r="A30" s="7" t="s">
        <v>40</v>
      </c>
      <c r="B30" s="8">
        <v>3</v>
      </c>
    </row>
    <row r="31" spans="1:2" x14ac:dyDescent="0.25">
      <c r="A31" s="7" t="s">
        <v>41</v>
      </c>
      <c r="B31" s="9">
        <v>160</v>
      </c>
    </row>
    <row r="33" spans="1:2" x14ac:dyDescent="0.25">
      <c r="A33" s="6" t="s">
        <v>42</v>
      </c>
      <c r="B33" s="6"/>
    </row>
    <row r="34" spans="1:3" x14ac:dyDescent="0.25">
      <c r="A34" s="7" t="s">
        <v>43</v>
      </c>
      <c r="B34" s="16">
        <f>IF(OR(B28="",B29=""),"falta dato",IF(B28&lt;=0,"falta dato",(B28-B29)/B28))</f>
      </c>
      <c r="C34" s="10" t="s">
        <v>44</v>
      </c>
    </row>
    <row r="35" spans="1:3" x14ac:dyDescent="0.25">
      <c r="A35" s="7" t="s">
        <v>40</v>
      </c>
      <c r="B35" s="16">
        <f>IF(OR(B29="",B30=""),"falta dato",IF(B29&lt;=0,"falta dato",B30/B29))</f>
      </c>
      <c r="C35" s="10" t="s">
        <v>45</v>
      </c>
    </row>
    <row r="36" spans="1:2" x14ac:dyDescent="0.25">
      <c r="A36" s="7" t="s">
        <v>46</v>
      </c>
      <c r="B36" s="13">
        <f>IF(OR(B29="",B31=""),"falta dato",IF(B29&lt;=0,"falta dato",B31/B29))</f>
      </c>
    </row>
  </sheetData>
  <sheetProtection sheet="1" formatColumns="0" formatRows="0"/>
  <conditionalFormatting sqref="B16:B24">
    <cfRule type="containsText" dxfId="0" priority="1">
      <formula>NOT(ISERROR(SEARCH("falta",B16)))</formula>
    </cfRule>
  </conditionalFormatting>
  <conditionalFormatting sqref="B34:B36">
    <cfRule type="containsText" dxfId="1" priority="2">
      <formula>NOT(ISERROR(SEARCH("falta",B34)))</formula>
    </cfRule>
  </conditionalFormatting>
  <dataValidations count="2">
    <dataValidation type="decimal" operator="greaterThanOrEqual" allowBlank="1" showErrorMessage="1" errorTitle="Número" error="No puede ser negativo." sqref="B28:B31">
      <formula1>0</formula1>
    </dataValidation>
    <dataValidation type="decimal" operator="greaterThanOrEqual" allowBlank="1" showErrorMessage="1" errorTitle="Número" error="No puede ser negativo." sqref="B5:B13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Calculadora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AgroAcademy</dc:creator>
  <dc:title>Calculadora básica de rentabilidad apícola</dc:title>
  <dc:subject/>
  <dc:description/>
  <cp:keywords/>
  <cp:category/>
  <cp:lastModifiedBy>Unknown</cp:lastModifiedBy>
  <dcterms:created xsi:type="dcterms:W3CDTF">2026-10-05T04:34:21Z</dcterms:created>
  <dcterms:modified xsi:type="dcterms:W3CDTF">2026-10-05T04:34:21Z</dcterms:modified>
</cp:coreProperties>
</file>