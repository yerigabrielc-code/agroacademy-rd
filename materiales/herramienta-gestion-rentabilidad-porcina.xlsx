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8000" windowHeight="12000" firstSheet="0" activeTab="0"/>
  </bookViews>
  <sheets>
    <sheet sheetId="1" name="Instrucciones" state="visible" r:id="rId4"/>
    <sheet sheetId="2" name="Registro de gastos" state="visible" r:id="rId5"/>
    <sheet sheetId="3" name="Registro de ingresos" state="visible" r:id="rId6"/>
    <sheet sheetId="4" name="Control de lotes" state="visible" r:id="rId7"/>
    <sheet sheetId="5" name="Indicadores" state="visible" r:id="rId8"/>
    <sheet sheetId="6" name="Resumen" state="visible" r:id="rId9"/>
  </sheets>
  <calcPr calcId="171027" fullCalcOnLoad="1"/>
</workbook>
</file>

<file path=xl/sharedStrings.xml><?xml version="1.0" encoding="utf-8"?>
<sst xmlns="http://schemas.openxmlformats.org/spreadsheetml/2006/main" count="221" uniqueCount="149">
  <si>
    <t>Herramienta de gestión y rentabilidad porcina</t>
  </si>
  <si>
    <t>Curso «Gestión y rentabilidad de granjas porcinas» · AgroAcademy. Importes en pesos dominicanos (RD$).</t>
  </si>
  <si>
    <t>Para qué sirve</t>
  </si>
  <si>
    <t>Registrar los gastos y las ventas de cada lote y obtener, sin hacer cuentas a mano, el costo por cerdo, el costo por kilo, la conversión alimenticia, la mortalidad, el resultado, el margen y el punto de equilibrio.</t>
  </si>
  <si>
    <t>Las seis hojas</t>
  </si>
  <si>
    <t>1 · Instrucciones</t>
  </si>
  <si>
    <t>Esta hoja.</t>
  </si>
  <si>
    <t>2 · Registro de gastos</t>
  </si>
  <si>
    <t>Cada gasto en una fila: fecha, lote, categoría, concepto, cantidad y costo unitario. El total se calcula solo.</t>
  </si>
  <si>
    <t>3 · Registro de ingresos</t>
  </si>
  <si>
    <t>Cada venta en una fila: lote, comprador, cerdos, kilos, precio por kilo y costos de la venta (transporte, comisión). El ingreso neto se calcula solo.</t>
  </si>
  <si>
    <t>4 · Control de lotes</t>
  </si>
  <si>
    <t>Un renglón por lote: fechas, cerdos que entraron, muertos, peso de entrada y kilos de alimento consumidos. Costos, ventas y resultado se traen solos de los registros de gastos e ingresos.</t>
  </si>
  <si>
    <t>5 · Indicadores</t>
  </si>
  <si>
    <t>Mortalidad, peso de venta, kilos producidos, conversión, ganancia diaria, costo por cerdo, por kg vendido y por kg producido, resultado y margen de cada lote. A la derecha, la calculadora del punto de equilibrio.</t>
  </si>
  <si>
    <t>6 · Resumen</t>
  </si>
  <si>
    <t>Ingresos, costos, resultado y margen de toda la granja; los costos por categoría, fijos y variables, y la comparación de los lotes.</t>
  </si>
  <si>
    <t>Cómo se usa</t>
  </si>
  <si>
    <t>1</t>
  </si>
  <si>
    <t>Primero, en «Control de lotes», escriba el código de cada lote (por ejemplo L-03). Ese código se elige luego en los registros de gastos e ingresos.</t>
  </si>
  <si>
    <t>2</t>
  </si>
  <si>
    <t>Anote cada gasto el mismo día en «Registro de gastos», con su lote. Los gastos generales (salario fijo, luz de toda la granja) repártalos entre los lotes con un criterio fijo, por ejemplo por número de cerdos.</t>
  </si>
  <si>
    <t>3</t>
  </si>
  <si>
    <t>Al vender, anote la venta en «Registro de ingresos» con el peso total de los cerdos vendidos.</t>
  </si>
  <si>
    <t>4</t>
  </si>
  <si>
    <t>Complete en «Control de lotes» los muertos, el peso de entrada y los kilos de alimento. Mire «Indicadores» y «Resumen».</t>
  </si>
  <si>
    <t>Colores</t>
  </si>
  <si>
    <t>Celdas blancas</t>
  </si>
  <si>
    <t>Se escriben. Tienen validación: no aceptan números negativos ni categorías que no estén en la lista.</t>
  </si>
  <si>
    <t>Celdas grises</t>
  </si>
  <si>
    <t>Se calculan solas y están protegidas para que no se borre una fórmula por accidente. La protección NO tiene contraseña: Revisar → Desproteger hoja, si quiere adaptarla.</t>
  </si>
  <si>
    <t>Celdas amarillas</t>
  </si>
  <si>
    <t>Son DATOS DE EJEMPLO (los lotes L-01 y L-02 del curso). No son precios del mercado. Bórrelos (seleccione las celdas y pulse Suprimir) y escriba los suyos.</t>
  </si>
  <si>
    <t>«falta dato»</t>
  </si>
  <si>
    <t>Aparece en rojo cuando falta un dato esencial para el cálculo. La herramienta no inventa un número en su lugar.</t>
  </si>
  <si>
    <t>Fórmulas que usa (las mismas del curso)</t>
  </si>
  <si>
    <t>Resultado</t>
  </si>
  <si>
    <t>Ingresos netos − costos totales</t>
  </si>
  <si>
    <t>Costo por cerdo</t>
  </si>
  <si>
    <t>Costo total del lote ÷ cerdos vendidos</t>
  </si>
  <si>
    <t>Costo por kg vendido</t>
  </si>
  <si>
    <t>Costo total ÷ kg vendidos</t>
  </si>
  <si>
    <t>Costo por kg producido</t>
  </si>
  <si>
    <t>(Costo total − compra de lechones) ÷ (kg vendidos − kg que entraron)</t>
  </si>
  <si>
    <t>Conversión alimenticia</t>
  </si>
  <si>
    <t>kg de alimento consumidos ÷ kg producidos</t>
  </si>
  <si>
    <t>Ganancia diaria</t>
  </si>
  <si>
    <t>(peso promedio de venta − peso de entrada) ÷ días en la granja</t>
  </si>
  <si>
    <t>Mortalidad</t>
  </si>
  <si>
    <t>Muertos ÷ cerdos que entraron</t>
  </si>
  <si>
    <t>Margen</t>
  </si>
  <si>
    <t>Resultado ÷ ingresos netos</t>
  </si>
  <si>
    <t>Punto de equilibrio</t>
  </si>
  <si>
    <t>Costos fijos ÷ (precio − costo variable por cerdo)</t>
  </si>
  <si>
    <t>Funciona en Excel 2010 o más nuevo, en Excel para teléfono y en Google Sheets (Archivo → Importar). Guarde una copia antes de borrar los ejemplos.</t>
  </si>
  <si>
    <t>Registro de gastos</t>
  </si>
  <si>
    <t>Una fila por gasto. El total se calcula solo. Elija el lote de la lista (los lotes se crean en la hoja «Control de lotes»).</t>
  </si>
  <si>
    <t>Blanco = se escribe · Gris = se calcula solo (protegido) · Amarillo = datos de EJEMPLO: bórrelos y escriba los suyos</t>
  </si>
  <si>
    <t>Fecha</t>
  </si>
  <si>
    <t>Lote</t>
  </si>
  <si>
    <t>Categoría</t>
  </si>
  <si>
    <t>Concepto</t>
  </si>
  <si>
    <t>Cantidad</t>
  </si>
  <si>
    <t>Unidad</t>
  </si>
  <si>
    <t>Costo unitario (RD$)</t>
  </si>
  <si>
    <t>Total (RD$)</t>
  </si>
  <si>
    <t>Fijo o variable</t>
  </si>
  <si>
    <t>L-01</t>
  </si>
  <si>
    <t>Compra de lechones</t>
  </si>
  <si>
    <t>EJEMPLO · 50 lechones de 25 kg</t>
  </si>
  <si>
    <t>lechón</t>
  </si>
  <si>
    <t>Variable</t>
  </si>
  <si>
    <t>Alimento</t>
  </si>
  <si>
    <t>EJEMPLO · alimento de todo el engorde</t>
  </si>
  <si>
    <t>kg</t>
  </si>
  <si>
    <t>Sanidad</t>
  </si>
  <si>
    <t>EJEMPLO · vacunas y medicamentos</t>
  </si>
  <si>
    <t>global</t>
  </si>
  <si>
    <t>Mano de obra</t>
  </si>
  <si>
    <t>EJEMPLO · parte del salario del encargado</t>
  </si>
  <si>
    <t>Fijo</t>
  </si>
  <si>
    <t>Agua y energía</t>
  </si>
  <si>
    <t>EJEMPLO · parte de la factura</t>
  </si>
  <si>
    <t>Otros</t>
  </si>
  <si>
    <t>EJEMPLO · mantenimiento y depreciación</t>
  </si>
  <si>
    <t>L-02</t>
  </si>
  <si>
    <t>EJEMPLO · 20 lechones propios a valor de mercado</t>
  </si>
  <si>
    <t>EJEMPLO · parte del salario</t>
  </si>
  <si>
    <t>Registro de ingresos</t>
  </si>
  <si>
    <t>Una fila por venta. Costos de venta = transporte, comisión y otros descuentos que salen del precio.</t>
  </si>
  <si>
    <t>Comprador</t>
  </si>
  <si>
    <t>Cerdos vendidos</t>
  </si>
  <si>
    <t>Peso total vendido (kg)</t>
  </si>
  <si>
    <t>Precio por kg (RD$)</t>
  </si>
  <si>
    <t>Ingreso bruto (RD$)</t>
  </si>
  <si>
    <t>Costos de venta (RD$)</t>
  </si>
  <si>
    <t>Ingreso neto (RD$)</t>
  </si>
  <si>
    <t>EJEMPLO · Comprador A</t>
  </si>
  <si>
    <t>EJEMPLO · Intermediario (2 % + transporte)</t>
  </si>
  <si>
    <t>Control de lotes</t>
  </si>
  <si>
    <t>Un renglón por lote. Escriba las columnas blancas; las grises se traen de los registros de gastos e ingresos.</t>
  </si>
  <si>
    <t>Fecha de entrada</t>
  </si>
  <si>
    <t>Fecha de venta</t>
  </si>
  <si>
    <t>Cerdos que entraron</t>
  </si>
  <si>
    <t>Muertos</t>
  </si>
  <si>
    <t>Peso promedio de entrada (kg)</t>
  </si>
  <si>
    <t>Alimento consumido (kg)</t>
  </si>
  <si>
    <t>Días en la granja</t>
  </si>
  <si>
    <t>kg vendidos</t>
  </si>
  <si>
    <t>Costo total (RD$)</t>
  </si>
  <si>
    <t>Compra de lechones (RD$)</t>
  </si>
  <si>
    <t>Resultado (RD$)</t>
  </si>
  <si>
    <t>Indicadores por lote</t>
  </si>
  <si>
    <t>Todo se calcula solo con los datos de «Control de lotes», «Registro de gastos» y «Registro de ingresos». A la derecha: punto de equilibrio del mes.</t>
  </si>
  <si>
    <t>Peso promedio de venta (kg)</t>
  </si>
  <si>
    <t>kg producidos</t>
  </si>
  <si>
    <t>Ganancia diaria (kg/día)</t>
  </si>
  <si>
    <t>Costo por cerdo (RD$)</t>
  </si>
  <si>
    <t>Costo por kg vendido (RD$)</t>
  </si>
  <si>
    <t>Costo por kg producido (RD$)</t>
  </si>
  <si>
    <t>Punto de equilibrio del mes</t>
  </si>
  <si>
    <t>Costos fijos del mes</t>
  </si>
  <si>
    <t>Precio de venta por cerdo</t>
  </si>
  <si>
    <t>Costo variable por cerdo</t>
  </si>
  <si>
    <t>Margen de contribución por cerdo</t>
  </si>
  <si>
    <t>% de margen de contribución</t>
  </si>
  <si>
    <t>Punto de equilibrio (cerdos al mes)</t>
  </si>
  <si>
    <t>En la práctica (redondeado hacia arriba)</t>
  </si>
  <si>
    <t>Punto de equilibrio en ventas</t>
  </si>
  <si>
    <t>Los tres valores amarillos son de EJEMPLO (módulo 6 del curso). Escriba los de su granja.</t>
  </si>
  <si>
    <t>Resumen de la granja</t>
  </si>
  <si>
    <t>Todo se calcula solo. Incluye los gastos de lotes que todavía no se han vendido: mire también el resultado por lote.</t>
  </si>
  <si>
    <t>Toda la granja</t>
  </si>
  <si>
    <t>Ingresos netos</t>
  </si>
  <si>
    <t>Costos totales</t>
  </si>
  <si>
    <t>Kilos vendidos</t>
  </si>
  <si>
    <t>Costo promedio por kg vendido</t>
  </si>
  <si>
    <t>Costos por categoría</t>
  </si>
  <si>
    <t>RD$</t>
  </si>
  <si>
    <t>% del costo</t>
  </si>
  <si>
    <t>Transporte</t>
  </si>
  <si>
    <t>Mantenimiento</t>
  </si>
  <si>
    <t>Depreciación</t>
  </si>
  <si>
    <t>Fijos y variables</t>
  </si>
  <si>
    <t>Costos fijos</t>
  </si>
  <si>
    <t>Costos variables</t>
  </si>
  <si>
    <t>Sin clasificar (escriba Fijo o Variable en «Registro de gastos»)</t>
  </si>
  <si>
    <t>Comparación de lotes</t>
  </si>
  <si>
    <t>Conversión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</si>
</sst>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dd/mm/yyyy"/>
    <numFmt numFmtId="165" formatCode="#,##0.##"/>
    <numFmt numFmtId="166" formatCode="&quot;RD$&quot; #,##0.00"/>
    <numFmt numFmtId="167" formatCode="#,##0.0"/>
    <numFmt numFmtId="168" formatCode="#,##0&quot; kg&quot;"/>
    <numFmt numFmtId="169" formatCode="0.000"/>
    <numFmt numFmtId="170" formatCode="&quot;RD$&quot; #,##0"/>
  </numFmts>
  <fonts count="14" x14ac:knownFonts="1">
    <font>
      <color theme="1"/>
      <family val="2"/>
      <scheme val="minor"/>
      <sz val="11"/>
      <name val="Calibri"/>
    </font>
    <font>
      <b/>
      <color rgb="FF6B4A0E"/>
      <sz val="18"/>
    </font>
    <font>
      <i/>
      <color rgb="FF52606D"/>
      <sz val="10.5"/>
    </font>
    <font>
      <b/>
      <color rgb="FFFFFFFF"/>
      <sz val="12.5"/>
    </font>
    <font>
      <b/>
    </font>
    <font>
      <b/>
      <color rgb="FFC4544A"/>
    </font>
    <font>
      <b/>
      <color rgb="FF6B4A0E"/>
      <sz val="16"/>
      <name val="Calibri"/>
    </font>
    <font>
      <b/>
      <color rgb="FF9A6D14"/>
      <sz val="9.5"/>
    </font>
    <font>
      <b/>
      <color rgb="FFFFFFFF"/>
      <sz val="10.5"/>
    </font>
    <font>
      <b/>
      <color rgb="FFFFFFFF"/>
    </font>
    <font/>
    <font>
      <i/>
      <color rgb="FF9A6D14"/>
      <sz val="9.5"/>
    </font>
    <font>
      <b/>
      <color rgb="FF6B4A0E"/>
      <sz val="16"/>
    </font>
    <font>
      <i/>
      <color rgb="FF52606D"/>
      <sz val="10"/>
    </font>
  </fonts>
  <fills count="7">
    <fill>
      <patternFill patternType="none"/>
    </fill>
    <fill>
      <patternFill patternType="gray125"/>
    </fill>
    <fill>
      <patternFill patternType="solid">
        <fgColor rgb="FF9A6D14"/>
      </patternFill>
    </fill>
    <fill>
      <patternFill patternType="solid">
        <fgColor rgb="FFEDEFF2"/>
      </patternFill>
    </fill>
    <fill>
      <patternFill patternType="solid">
        <fgColor rgb="FFFFF2CC"/>
      </patternFill>
    </fill>
    <fill>
      <patternFill patternType="solid">
        <fgColor rgb="FFFFFFFF"/>
      </patternFill>
    </fill>
    <fill>
      <patternFill patternType="solid">
        <fgColor rgb="FFFBF4E4"/>
      </patternFill>
    </fill>
  </fills>
  <borders count="2">
    <border>
      <left/>
      <right/>
      <top/>
      <bottom/>
      <diagonal/>
    </border>
    <border>
      <left style="thin">
        <color rgb="FFC9CED6"/>
      </left>
      <right style="thin">
        <color rgb="FFC9CED6"/>
      </right>
      <top style="thin">
        <color rgb="FFC9CED6"/>
      </top>
      <bottom style="thin">
        <color rgb="FFC9CED6"/>
      </bottom>
      <diagonal/>
    </border>
  </borders>
  <cellStyleXfs count="1">
    <xf numFmtId="0" fontId="0" fillId="0" borderId="0"/>
  </cellStyleXfs>
  <cellXfs count="43">
    <xf numFmtId="0" fontId="0" fillId="0" borderId="0" xfId="0"/>
    <xf numFmtId="0" fontId="1" fillId="0" borderId="0" xfId="0" applyFont="1"/>
    <xf numFmtId="0" fontId="2" fillId="0" borderId="0" xfId="0" applyFont="1"/>
    <xf numFmtId="0" fontId="3" fillId="2" borderId="0" xfId="0" applyFont="1" applyFill="1"/>
    <xf numFmtId="0" fontId="0" fillId="0" borderId="0" xfId="0" applyAlignment="1">
      <alignment vertical="top" wrapText="1"/>
    </xf>
    <xf numFmtId="0" fontId="4" fillId="0" borderId="0" xfId="0" applyFont="1" applyAlignment="1">
      <alignment vertical="top"/>
    </xf>
    <xf numFmtId="0" fontId="4" fillId="3" borderId="0" xfId="0" applyFont="1" applyFill="1" applyAlignment="1">
      <alignment vertical="top"/>
    </xf>
    <xf numFmtId="0" fontId="4" fillId="4" borderId="0" xfId="0" applyFont="1" applyFill="1" applyAlignment="1">
      <alignment vertical="top"/>
    </xf>
    <xf numFmtId="0" fontId="5" fillId="0" borderId="0" xfId="0" applyFont="1" applyAlignment="1">
      <alignment vertical="top"/>
    </xf>
    <xf numFmtId="0" fontId="6" fillId="0" borderId="0" xfId="0" applyFont="1"/>
    <xf numFmtId="0" fontId="7" fillId="0" borderId="0" xfId="0" applyFont="1"/>
    <xf numFmtId="0" fontId="8" fillId="2" borderId="1" xfId="0" applyFont="1" applyFill="1" applyBorder="1" applyAlignment="1">
      <alignment horizontal="center" vertical="center" wrapText="1"/>
    </xf>
    <xf numFmtId="164" fontId="0" fillId="4" borderId="1" xfId="0" applyNumberFormat="1" applyFill="1" applyBorder="1" applyProtection="1">
      <protection locked="0"/>
    </xf>
    <xf numFmtId="0" fontId="0" fillId="4" borderId="1" xfId="0" applyFill="1" applyBorder="1" applyProtection="1">
      <protection locked="0"/>
    </xf>
    <xf numFmtId="165" fontId="0" fillId="4" borderId="1" xfId="0" applyNumberFormat="1" applyFill="1" applyBorder="1" applyProtection="1">
      <protection locked="0"/>
    </xf>
    <xf numFmtId="166" fontId="0" fillId="4" borderId="1" xfId="0" applyNumberFormat="1" applyFill="1" applyBorder="1" applyProtection="1">
      <protection locked="0"/>
    </xf>
    <xf numFmtId="166" fontId="0" fillId="3" borderId="1" xfId="0" applyNumberFormat="1" applyFill="1" applyBorder="1" applyProtection="1"/>
    <xf numFmtId="164" fontId="0" fillId="5" borderId="1" xfId="0" applyNumberFormat="1" applyFill="1" applyBorder="1" applyProtection="1">
      <protection locked="0"/>
    </xf>
    <xf numFmtId="0" fontId="0" fillId="5" borderId="1" xfId="0" applyFill="1" applyBorder="1" applyProtection="1">
      <protection locked="0"/>
    </xf>
    <xf numFmtId="165" fontId="0" fillId="5" borderId="1" xfId="0" applyNumberFormat="1" applyFill="1" applyBorder="1" applyProtection="1">
      <protection locked="0"/>
    </xf>
    <xf numFmtId="166" fontId="0" fillId="5" borderId="1" xfId="0" applyNumberFormat="1" applyFill="1" applyBorder="1" applyProtection="1">
      <protection locked="0"/>
    </xf>
    <xf numFmtId="3" fontId="0" fillId="4" borderId="1" xfId="0" applyNumberFormat="1" applyFill="1" applyBorder="1" applyProtection="1">
      <protection locked="0"/>
    </xf>
    <xf numFmtId="3" fontId="0" fillId="5" borderId="1" xfId="0" applyNumberFormat="1" applyFill="1" applyBorder="1" applyProtection="1">
      <protection locked="0"/>
    </xf>
    <xf numFmtId="167" fontId="0" fillId="4" borderId="1" xfId="0" applyNumberFormat="1" applyFill="1" applyBorder="1" applyProtection="1">
      <protection locked="0"/>
    </xf>
    <xf numFmtId="3" fontId="0" fillId="3" borderId="1" xfId="0" applyNumberFormat="1" applyFill="1" applyBorder="1" applyProtection="1"/>
    <xf numFmtId="168" fontId="0" fillId="3" borderId="1" xfId="0" applyNumberFormat="1" applyFill="1" applyBorder="1" applyProtection="1"/>
    <xf numFmtId="167" fontId="0" fillId="5" borderId="1" xfId="0" applyNumberFormat="1" applyFill="1" applyBorder="1" applyProtection="1">
      <protection locked="0"/>
    </xf>
    <xf numFmtId="0" fontId="9" fillId="2" borderId="0" xfId="0" applyFont="1" applyFill="1"/>
    <xf numFmtId="0" fontId="0" fillId="2" borderId="0" xfId="0" applyFill="1"/>
    <xf numFmtId="0" fontId="0" fillId="3" borderId="1" xfId="0" applyFill="1" applyBorder="1" applyProtection="1"/>
    <xf numFmtId="10" fontId="0" fillId="3" borderId="1" xfId="0" applyNumberFormat="1" applyFill="1" applyBorder="1" applyProtection="1"/>
    <xf numFmtId="167" fontId="0" fillId="3" borderId="1" xfId="0" applyNumberFormat="1" applyFill="1" applyBorder="1" applyProtection="1"/>
    <xf numFmtId="2" fontId="0" fillId="3" borderId="1" xfId="0" applyNumberFormat="1" applyFill="1" applyBorder="1" applyProtection="1"/>
    <xf numFmtId="169" fontId="0" fillId="3" borderId="1" xfId="0" applyNumberFormat="1" applyFill="1" applyBorder="1" applyProtection="1"/>
    <xf numFmtId="0" fontId="10" fillId="0" borderId="1" xfId="0" applyFont="1" applyBorder="1"/>
    <xf numFmtId="170" fontId="0" fillId="4" borderId="1" xfId="0" applyNumberFormat="1" applyFill="1" applyBorder="1" applyProtection="1">
      <protection locked="0"/>
    </xf>
    <xf numFmtId="170" fontId="0" fillId="3" borderId="1" xfId="0" applyNumberFormat="1" applyFill="1" applyBorder="1" applyProtection="1"/>
    <xf numFmtId="0" fontId="4" fillId="0" borderId="1" xfId="0" applyFont="1" applyBorder="1"/>
    <xf numFmtId="0" fontId="11" fillId="0" borderId="0" xfId="0" applyFont="1" applyAlignment="1">
      <alignment wrapText="1"/>
    </xf>
    <xf numFmtId="0" fontId="12" fillId="0" borderId="0" xfId="0" applyFont="1"/>
    <xf numFmtId="0" fontId="13" fillId="0" borderId="0" xfId="0" applyFont="1"/>
    <xf numFmtId="0" fontId="0" fillId="0" borderId="1" xfId="0" applyBorder="1"/>
    <xf numFmtId="0" fontId="4" fillId="6" borderId="1" xfId="0" applyFont="1" applyFill="1" applyBorder="1" applyAlignment="1">
      <alignment horizontal="center" wrapText="1"/>
    </xf>
  </cellXfs>
  <cellStyles count="1">
    <cellStyle name="Normal" xfId="0" builtinId="0"/>
  </cellStyles>
  <dxfs count="6">
    <dxf>
      <font>
        <b/>
        <color rgb="FFC4544A"/>
      </font>
    </dxf>
    <dxf>
      <font>
        <b/>
        <color rgb="FFC4544A"/>
      </font>
    </dxf>
    <dxf>
      <font>
        <b/>
        <color rgb="FFC4544A"/>
      </font>
    </dxf>
    <dxf>
      <font>
        <b/>
        <color rgb="FFC4544A"/>
      </font>
    </dxf>
    <dxf>
      <font>
        <b/>
        <color rgb="FFC4544A"/>
      </font>
    </dxf>
    <dxf>
      <font>
        <b/>
        <color rgb="FFC4544A"/>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A6D14"/>
  </sheetPr>
  <dimension ref="B1:C38"/>
  <sheetFormatPr defaultRowHeight="15" outlineLevelRow="0" outlineLevelCol="0" x14ac:dyDescent="55"/>
  <cols>
    <col min="1" max="1" width="4" customWidth="1"/>
    <col min="2" max="2" width="30" customWidth="1"/>
    <col min="3" max="3" width="96" customWidth="1"/>
  </cols>
  <sheetData>
    <row r="1" ht="28" customHeight="1" spans="2:3" x14ac:dyDescent="0.25">
      <c r="B1" s="1" t="s">
        <v>0</v>
      </c>
    </row>
    <row r="2" spans="2:3" x14ac:dyDescent="0.25">
      <c r="B2" s="2" t="s">
        <v>1</v>
      </c>
    </row>
    <row r="3" spans="2:3" x14ac:dyDescent="0.25"/>
    <row r="4" ht="20" customHeight="1" spans="2:3" x14ac:dyDescent="0.25">
      <c r="B4" s="3" t="s">
        <v>2</v>
      </c>
      <c r="C4" s="3"/>
    </row>
    <row r="5" ht="32" customHeight="1" spans="2:3" x14ac:dyDescent="0.25">
      <c r="B5" s="4" t="s">
        <v>3</v>
      </c>
      <c r="C5" s="4"/>
    </row>
    <row r="6" spans="2:3" x14ac:dyDescent="0.25"/>
    <row r="7" ht="20" customHeight="1" spans="2:3" x14ac:dyDescent="0.25">
      <c r="B7" s="3" t="s">
        <v>4</v>
      </c>
      <c r="C7" s="3"/>
    </row>
    <row r="8" spans="2:3" x14ac:dyDescent="0.25">
      <c r="B8" s="5" t="s">
        <v>5</v>
      </c>
      <c r="C8" s="4" t="s">
        <v>6</v>
      </c>
    </row>
    <row r="9" ht="30" customHeight="1" spans="2:3" x14ac:dyDescent="0.25">
      <c r="B9" s="5" t="s">
        <v>7</v>
      </c>
      <c r="C9" s="4" t="s">
        <v>8</v>
      </c>
    </row>
    <row r="10" ht="30" customHeight="1" spans="2:3" x14ac:dyDescent="0.25">
      <c r="B10" s="5" t="s">
        <v>9</v>
      </c>
      <c r="C10" s="4" t="s">
        <v>10</v>
      </c>
    </row>
    <row r="11" ht="30" customHeight="1" spans="2:3" x14ac:dyDescent="0.25">
      <c r="B11" s="5" t="s">
        <v>11</v>
      </c>
      <c r="C11" s="4" t="s">
        <v>12</v>
      </c>
    </row>
    <row r="12" ht="30" customHeight="1" spans="2:3" x14ac:dyDescent="0.25">
      <c r="B12" s="5" t="s">
        <v>13</v>
      </c>
      <c r="C12" s="4" t="s">
        <v>14</v>
      </c>
    </row>
    <row r="13" ht="30" customHeight="1" spans="2:3" x14ac:dyDescent="0.25">
      <c r="B13" s="5" t="s">
        <v>15</v>
      </c>
      <c r="C13" s="4" t="s">
        <v>16</v>
      </c>
    </row>
    <row r="14" spans="2:3" x14ac:dyDescent="0.25"/>
    <row r="15" ht="20" customHeight="1" spans="2:3" x14ac:dyDescent="0.25">
      <c r="B15" s="3" t="s">
        <v>17</v>
      </c>
      <c r="C15" s="3"/>
    </row>
    <row r="16" ht="30" customHeight="1" spans="2:3" x14ac:dyDescent="0.25">
      <c r="B16" s="5" t="s">
        <v>18</v>
      </c>
      <c r="C16" s="4" t="s">
        <v>19</v>
      </c>
    </row>
    <row r="17" ht="30" customHeight="1" spans="2:3" x14ac:dyDescent="0.25">
      <c r="B17" s="5" t="s">
        <v>20</v>
      </c>
      <c r="C17" s="4" t="s">
        <v>21</v>
      </c>
    </row>
    <row r="18" spans="2:3" x14ac:dyDescent="0.25">
      <c r="B18" s="5" t="s">
        <v>22</v>
      </c>
      <c r="C18" s="4" t="s">
        <v>23</v>
      </c>
    </row>
    <row r="19" ht="30" customHeight="1" spans="2:3" x14ac:dyDescent="0.25">
      <c r="B19" s="5" t="s">
        <v>24</v>
      </c>
      <c r="C19" s="4" t="s">
        <v>25</v>
      </c>
    </row>
    <row r="20" spans="2:3" x14ac:dyDescent="0.25"/>
    <row r="21" ht="20" customHeight="1" spans="2:3" x14ac:dyDescent="0.25">
      <c r="B21" s="3" t="s">
        <v>26</v>
      </c>
      <c r="C21" s="3"/>
    </row>
    <row r="22" ht="30" customHeight="1" spans="2:3" x14ac:dyDescent="0.25">
      <c r="B22" s="5" t="s">
        <v>27</v>
      </c>
      <c r="C22" s="4" t="s">
        <v>28</v>
      </c>
    </row>
    <row r="23" ht="30" customHeight="1" spans="2:3" x14ac:dyDescent="0.25">
      <c r="B23" s="6" t="s">
        <v>29</v>
      </c>
      <c r="C23" s="4" t="s">
        <v>30</v>
      </c>
    </row>
    <row r="24" ht="30" customHeight="1" spans="2:3" x14ac:dyDescent="0.25">
      <c r="B24" s="7" t="s">
        <v>31</v>
      </c>
      <c r="C24" s="4" t="s">
        <v>32</v>
      </c>
    </row>
    <row r="25" ht="30" customHeight="1" spans="2:3" x14ac:dyDescent="0.25">
      <c r="B25" s="8" t="s">
        <v>33</v>
      </c>
      <c r="C25" s="4" t="s">
        <v>34</v>
      </c>
    </row>
    <row r="26" spans="2:3" x14ac:dyDescent="0.25"/>
    <row r="27" ht="20" customHeight="1" spans="2:3" x14ac:dyDescent="0.25">
      <c r="B27" s="3" t="s">
        <v>35</v>
      </c>
      <c r="C27" s="3"/>
    </row>
    <row r="28" spans="2:3" x14ac:dyDescent="0.25">
      <c r="B28" s="5" t="s">
        <v>36</v>
      </c>
      <c r="C28" s="4" t="s">
        <v>37</v>
      </c>
    </row>
    <row r="29" spans="2:3" x14ac:dyDescent="0.25">
      <c r="B29" s="5" t="s">
        <v>38</v>
      </c>
      <c r="C29" s="4" t="s">
        <v>39</v>
      </c>
    </row>
    <row r="30" spans="2:3" x14ac:dyDescent="0.25">
      <c r="B30" s="5" t="s">
        <v>40</v>
      </c>
      <c r="C30" s="4" t="s">
        <v>41</v>
      </c>
    </row>
    <row r="31" spans="2:3" x14ac:dyDescent="0.25">
      <c r="B31" s="5" t="s">
        <v>42</v>
      </c>
      <c r="C31" s="4" t="s">
        <v>43</v>
      </c>
    </row>
    <row r="32" spans="2:3" x14ac:dyDescent="0.25">
      <c r="B32" s="5" t="s">
        <v>44</v>
      </c>
      <c r="C32" s="4" t="s">
        <v>45</v>
      </c>
    </row>
    <row r="33" spans="2:3" x14ac:dyDescent="0.25">
      <c r="B33" s="5" t="s">
        <v>46</v>
      </c>
      <c r="C33" s="4" t="s">
        <v>47</v>
      </c>
    </row>
    <row r="34" spans="2:3" x14ac:dyDescent="0.25">
      <c r="B34" s="5" t="s">
        <v>48</v>
      </c>
      <c r="C34" s="4" t="s">
        <v>49</v>
      </c>
    </row>
    <row r="35" spans="2:3" x14ac:dyDescent="0.25">
      <c r="B35" s="5" t="s">
        <v>50</v>
      </c>
      <c r="C35" s="4" t="s">
        <v>51</v>
      </c>
    </row>
    <row r="36" spans="2:3" x14ac:dyDescent="0.25">
      <c r="B36" s="5" t="s">
        <v>52</v>
      </c>
      <c r="C36" s="4" t="s">
        <v>53</v>
      </c>
    </row>
    <row r="37" spans="2:3" x14ac:dyDescent="0.25"/>
    <row r="38" spans="2:3" x14ac:dyDescent="0.25">
      <c r="B38" s="2" t="s">
        <v>54</v>
      </c>
    </row>
  </sheetData>
  <sheetProtection sheet="1" formatColumns="0" formatRows="0" autoFilter="0"/>
  <mergeCells count="6">
    <mergeCell ref="B4:C4"/>
    <mergeCell ref="B5:C5"/>
    <mergeCell ref="B7:C7"/>
    <mergeCell ref="B15:C15"/>
    <mergeCell ref="B21:C21"/>
    <mergeCell ref="B27:C27"/>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5532F"/>
    <pageSetUpPr fitToPage="1"/>
  </sheetPr>
  <dimension ref="A1:I505"/>
  <sheetViews>
    <sheetView workbookViewId="0">
      <pane ySplit="4" topLeftCell="A5" activePane="bottomLeft" state="frozen"/>
      <selection pane="bottomLeft"/>
    </sheetView>
  </sheetViews>
  <sheetFormatPr defaultRowHeight="15" outlineLevelRow="0" outlineLevelCol="0" x14ac:dyDescent="55"/>
  <cols>
    <col min="1" max="1" width="12" customWidth="1"/>
    <col min="2" max="2" width="10" customWidth="1"/>
    <col min="3" max="3" width="20" customWidth="1"/>
    <col min="4" max="4" width="40" customWidth="1"/>
    <col min="5" max="5" width="11" customWidth="1"/>
    <col min="6" max="6" width="10" customWidth="1"/>
    <col min="7" max="7" width="16" customWidth="1"/>
    <col min="8" max="8" width="17" customWidth="1"/>
    <col min="9" max="9" width="13" customWidth="1"/>
  </cols>
  <sheetData>
    <row r="1" spans="1:1" x14ac:dyDescent="0.25">
      <c r="A1" s="9" t="s">
        <v>55</v>
      </c>
    </row>
    <row r="2" spans="1:1" x14ac:dyDescent="0.25">
      <c r="A2" s="2" t="s">
        <v>56</v>
      </c>
    </row>
    <row r="3" spans="1:1" x14ac:dyDescent="0.25">
      <c r="A3" s="10" t="s">
        <v>57</v>
      </c>
    </row>
    <row r="4" ht="34" customHeight="1" spans="1:9" x14ac:dyDescent="0.25">
      <c r="A4" s="11" t="s">
        <v>58</v>
      </c>
      <c r="B4" s="11" t="s">
        <v>59</v>
      </c>
      <c r="C4" s="11" t="s">
        <v>60</v>
      </c>
      <c r="D4" s="11" t="s">
        <v>61</v>
      </c>
      <c r="E4" s="11" t="s">
        <v>62</v>
      </c>
      <c r="F4" s="11" t="s">
        <v>63</v>
      </c>
      <c r="G4" s="11" t="s">
        <v>64</v>
      </c>
      <c r="H4" s="11" t="s">
        <v>65</v>
      </c>
      <c r="I4" s="11" t="s">
        <v>66</v>
      </c>
    </row>
    <row r="5" spans="1:9" x14ac:dyDescent="0.25">
      <c r="A5" s="12">
        <v>46027</v>
      </c>
      <c r="B5" s="13" t="s">
        <v>67</v>
      </c>
      <c r="C5" s="13" t="s">
        <v>68</v>
      </c>
      <c r="D5" s="13" t="s">
        <v>69</v>
      </c>
      <c r="E5" s="14">
        <v>50</v>
      </c>
      <c r="F5" s="13" t="s">
        <v>70</v>
      </c>
      <c r="G5" s="15">
        <v>4500</v>
      </c>
      <c r="H5" s="16">
        <f>IF(AND(E5="",G5=""),"",IF(OR(E5="",G5=""),"falta dato",E5*G5))</f>
      </c>
      <c r="I5" s="13" t="s">
        <v>71</v>
      </c>
    </row>
    <row r="6" spans="1:9" x14ac:dyDescent="0.25">
      <c r="A6" s="12">
        <v>46132</v>
      </c>
      <c r="B6" s="13" t="s">
        <v>67</v>
      </c>
      <c r="C6" s="13" t="s">
        <v>72</v>
      </c>
      <c r="D6" s="13" t="s">
        <v>73</v>
      </c>
      <c r="E6" s="14">
        <v>12500</v>
      </c>
      <c r="F6" s="13" t="s">
        <v>74</v>
      </c>
      <c r="G6" s="15">
        <v>32</v>
      </c>
      <c r="H6" s="16">
        <f>IF(AND(E6="",G6=""),"",IF(OR(E6="",G6=""),"falta dato",E6*G6))</f>
      </c>
      <c r="I6" s="13" t="s">
        <v>71</v>
      </c>
    </row>
    <row r="7" spans="1:9" x14ac:dyDescent="0.25">
      <c r="A7" s="12">
        <v>46132</v>
      </c>
      <c r="B7" s="13" t="s">
        <v>67</v>
      </c>
      <c r="C7" s="13" t="s">
        <v>75</v>
      </c>
      <c r="D7" s="13" t="s">
        <v>76</v>
      </c>
      <c r="E7" s="14">
        <v>1</v>
      </c>
      <c r="F7" s="13" t="s">
        <v>77</v>
      </c>
      <c r="G7" s="15">
        <v>18000</v>
      </c>
      <c r="H7" s="16">
        <f>IF(AND(E7="",G7=""),"",IF(OR(E7="",G7=""),"falta dato",E7*G7))</f>
      </c>
      <c r="I7" s="13" t="s">
        <v>71</v>
      </c>
    </row>
    <row r="8" spans="1:9" x14ac:dyDescent="0.25">
      <c r="A8" s="12">
        <v>46132</v>
      </c>
      <c r="B8" s="13" t="s">
        <v>67</v>
      </c>
      <c r="C8" s="13" t="s">
        <v>78</v>
      </c>
      <c r="D8" s="13" t="s">
        <v>79</v>
      </c>
      <c r="E8" s="14">
        <v>1</v>
      </c>
      <c r="F8" s="13" t="s">
        <v>77</v>
      </c>
      <c r="G8" s="15">
        <v>45000</v>
      </c>
      <c r="H8" s="16">
        <f>IF(AND(E8="",G8=""),"",IF(OR(E8="",G8=""),"falta dato",E8*G8))</f>
      </c>
      <c r="I8" s="13" t="s">
        <v>80</v>
      </c>
    </row>
    <row r="9" spans="1:9" x14ac:dyDescent="0.25">
      <c r="A9" s="12">
        <v>46132</v>
      </c>
      <c r="B9" s="13" t="s">
        <v>67</v>
      </c>
      <c r="C9" s="13" t="s">
        <v>81</v>
      </c>
      <c r="D9" s="13" t="s">
        <v>82</v>
      </c>
      <c r="E9" s="14">
        <v>1</v>
      </c>
      <c r="F9" s="13" t="s">
        <v>77</v>
      </c>
      <c r="G9" s="15">
        <v>12000</v>
      </c>
      <c r="H9" s="16">
        <f>IF(AND(E9="",G9=""),"",IF(OR(E9="",G9=""),"falta dato",E9*G9))</f>
      </c>
      <c r="I9" s="13" t="s">
        <v>80</v>
      </c>
    </row>
    <row r="10" spans="1:9" x14ac:dyDescent="0.25">
      <c r="A10" s="12">
        <v>46132</v>
      </c>
      <c r="B10" s="13" t="s">
        <v>67</v>
      </c>
      <c r="C10" s="13" t="s">
        <v>83</v>
      </c>
      <c r="D10" s="13" t="s">
        <v>84</v>
      </c>
      <c r="E10" s="14">
        <v>1</v>
      </c>
      <c r="F10" s="13" t="s">
        <v>77</v>
      </c>
      <c r="G10" s="15">
        <v>20000</v>
      </c>
      <c r="H10" s="16">
        <f>IF(AND(E10="",G10=""),"",IF(OR(E10="",G10=""),"falta dato",E10*G10))</f>
      </c>
      <c r="I10" s="13" t="s">
        <v>80</v>
      </c>
    </row>
    <row r="11" spans="1:9" x14ac:dyDescent="0.25">
      <c r="A11" s="12">
        <v>46054</v>
      </c>
      <c r="B11" s="13" t="s">
        <v>85</v>
      </c>
      <c r="C11" s="13" t="s">
        <v>68</v>
      </c>
      <c r="D11" s="13" t="s">
        <v>86</v>
      </c>
      <c r="E11" s="14">
        <v>20</v>
      </c>
      <c r="F11" s="13" t="s">
        <v>70</v>
      </c>
      <c r="G11" s="15">
        <v>3800</v>
      </c>
      <c r="H11" s="16">
        <f>IF(AND(E11="",G11=""),"",IF(OR(E11="",G11=""),"falta dato",E11*G11))</f>
      </c>
      <c r="I11" s="13" t="s">
        <v>71</v>
      </c>
    </row>
    <row r="12" spans="1:9" x14ac:dyDescent="0.25">
      <c r="A12" s="12">
        <v>46157</v>
      </c>
      <c r="B12" s="13" t="s">
        <v>85</v>
      </c>
      <c r="C12" s="13" t="s">
        <v>72</v>
      </c>
      <c r="D12" s="13" t="s">
        <v>73</v>
      </c>
      <c r="E12" s="14">
        <v>5000</v>
      </c>
      <c r="F12" s="13" t="s">
        <v>74</v>
      </c>
      <c r="G12" s="15">
        <v>32</v>
      </c>
      <c r="H12" s="16">
        <f>IF(AND(E12="",G12=""),"",IF(OR(E12="",G12=""),"falta dato",E12*G12))</f>
      </c>
      <c r="I12" s="13" t="s">
        <v>71</v>
      </c>
    </row>
    <row r="13" spans="1:9" x14ac:dyDescent="0.25">
      <c r="A13" s="12">
        <v>46157</v>
      </c>
      <c r="B13" s="13" t="s">
        <v>85</v>
      </c>
      <c r="C13" s="13" t="s">
        <v>75</v>
      </c>
      <c r="D13" s="13" t="s">
        <v>76</v>
      </c>
      <c r="E13" s="14">
        <v>1</v>
      </c>
      <c r="F13" s="13" t="s">
        <v>77</v>
      </c>
      <c r="G13" s="15">
        <v>6000</v>
      </c>
      <c r="H13" s="16">
        <f>IF(AND(E13="",G13=""),"",IF(OR(E13="",G13=""),"falta dato",E13*G13))</f>
      </c>
      <c r="I13" s="13" t="s">
        <v>71</v>
      </c>
    </row>
    <row r="14" spans="1:9" x14ac:dyDescent="0.25">
      <c r="A14" s="12">
        <v>46157</v>
      </c>
      <c r="B14" s="13" t="s">
        <v>85</v>
      </c>
      <c r="C14" s="13" t="s">
        <v>78</v>
      </c>
      <c r="D14" s="13" t="s">
        <v>87</v>
      </c>
      <c r="E14" s="14">
        <v>1</v>
      </c>
      <c r="F14" s="13" t="s">
        <v>77</v>
      </c>
      <c r="G14" s="15">
        <v>18000</v>
      </c>
      <c r="H14" s="16">
        <f>IF(AND(E14="",G14=""),"",IF(OR(E14="",G14=""),"falta dato",E14*G14))</f>
      </c>
      <c r="I14" s="13" t="s">
        <v>80</v>
      </c>
    </row>
    <row r="15" spans="1:9" x14ac:dyDescent="0.25">
      <c r="A15" s="12">
        <v>46157</v>
      </c>
      <c r="B15" s="13" t="s">
        <v>85</v>
      </c>
      <c r="C15" s="13" t="s">
        <v>81</v>
      </c>
      <c r="D15" s="13" t="s">
        <v>82</v>
      </c>
      <c r="E15" s="14">
        <v>1</v>
      </c>
      <c r="F15" s="13" t="s">
        <v>77</v>
      </c>
      <c r="G15" s="15">
        <v>5000</v>
      </c>
      <c r="H15" s="16">
        <f>IF(AND(E15="",G15=""),"",IF(OR(E15="",G15=""),"falta dato",E15*G15))</f>
      </c>
      <c r="I15" s="13" t="s">
        <v>80</v>
      </c>
    </row>
    <row r="16" spans="1:9" x14ac:dyDescent="0.25">
      <c r="A16" s="12">
        <v>46157</v>
      </c>
      <c r="B16" s="13" t="s">
        <v>85</v>
      </c>
      <c r="C16" s="13" t="s">
        <v>83</v>
      </c>
      <c r="D16" s="13" t="s">
        <v>84</v>
      </c>
      <c r="E16" s="14">
        <v>1</v>
      </c>
      <c r="F16" s="13" t="s">
        <v>77</v>
      </c>
      <c r="G16" s="15">
        <v>7000</v>
      </c>
      <c r="H16" s="16">
        <f>IF(AND(E16="",G16=""),"",IF(OR(E16="",G16=""),"falta dato",E16*G16))</f>
      </c>
      <c r="I16" s="13" t="s">
        <v>80</v>
      </c>
    </row>
    <row r="17" spans="1:9" x14ac:dyDescent="0.25">
      <c r="A17" s="17"/>
      <c r="B17" s="18"/>
      <c r="C17" s="18"/>
      <c r="D17" s="18"/>
      <c r="E17" s="19"/>
      <c r="F17" s="18"/>
      <c r="G17" s="20"/>
      <c r="H17" s="16">
        <f>IF(AND(E17="",G17=""),"",IF(OR(E17="",G17=""),"falta dato",E17*G17))</f>
      </c>
      <c r="I17" s="18"/>
    </row>
    <row r="18" spans="1:9" x14ac:dyDescent="0.25">
      <c r="A18" s="17"/>
      <c r="B18" s="18"/>
      <c r="C18" s="18"/>
      <c r="D18" s="18"/>
      <c r="E18" s="19"/>
      <c r="F18" s="18"/>
      <c r="G18" s="20"/>
      <c r="H18" s="16">
        <f>IF(AND(E18="",G18=""),"",IF(OR(E18="",G18=""),"falta dato",E18*G18))</f>
      </c>
      <c r="I18" s="18"/>
    </row>
    <row r="19" spans="1:9" x14ac:dyDescent="0.25">
      <c r="A19" s="17"/>
      <c r="B19" s="18"/>
      <c r="C19" s="18"/>
      <c r="D19" s="18"/>
      <c r="E19" s="19"/>
      <c r="F19" s="18"/>
      <c r="G19" s="20"/>
      <c r="H19" s="16">
        <f>IF(AND(E19="",G19=""),"",IF(OR(E19="",G19=""),"falta dato",E19*G19))</f>
      </c>
      <c r="I19" s="18"/>
    </row>
    <row r="20" spans="1:9" x14ac:dyDescent="0.25">
      <c r="A20" s="17"/>
      <c r="B20" s="18"/>
      <c r="C20" s="18"/>
      <c r="D20" s="18"/>
      <c r="E20" s="19"/>
      <c r="F20" s="18"/>
      <c r="G20" s="20"/>
      <c r="H20" s="16">
        <f>IF(AND(E20="",G20=""),"",IF(OR(E20="",G20=""),"falta dato",E20*G20))</f>
      </c>
      <c r="I20" s="18"/>
    </row>
    <row r="21" spans="1:9" x14ac:dyDescent="0.25">
      <c r="A21" s="17"/>
      <c r="B21" s="18"/>
      <c r="C21" s="18"/>
      <c r="D21" s="18"/>
      <c r="E21" s="19"/>
      <c r="F21" s="18"/>
      <c r="G21" s="20"/>
      <c r="H21" s="16">
        <f>IF(AND(E21="",G21=""),"",IF(OR(E21="",G21=""),"falta dato",E21*G21))</f>
      </c>
      <c r="I21" s="18"/>
    </row>
    <row r="22" spans="1:9" x14ac:dyDescent="0.25">
      <c r="A22" s="17"/>
      <c r="B22" s="18"/>
      <c r="C22" s="18"/>
      <c r="D22" s="18"/>
      <c r="E22" s="19"/>
      <c r="F22" s="18"/>
      <c r="G22" s="20"/>
      <c r="H22" s="16">
        <f>IF(AND(E22="",G22=""),"",IF(OR(E22="",G22=""),"falta dato",E22*G22))</f>
      </c>
      <c r="I22" s="18"/>
    </row>
    <row r="23" spans="1:9" x14ac:dyDescent="0.25">
      <c r="A23" s="17"/>
      <c r="B23" s="18"/>
      <c r="C23" s="18"/>
      <c r="D23" s="18"/>
      <c r="E23" s="19"/>
      <c r="F23" s="18"/>
      <c r="G23" s="20"/>
      <c r="H23" s="16">
        <f>IF(AND(E23="",G23=""),"",IF(OR(E23="",G23=""),"falta dato",E23*G23))</f>
      </c>
      <c r="I23" s="18"/>
    </row>
    <row r="24" spans="1:9" x14ac:dyDescent="0.25">
      <c r="A24" s="17"/>
      <c r="B24" s="18"/>
      <c r="C24" s="18"/>
      <c r="D24" s="18"/>
      <c r="E24" s="19"/>
      <c r="F24" s="18"/>
      <c r="G24" s="20"/>
      <c r="H24" s="16">
        <f>IF(AND(E24="",G24=""),"",IF(OR(E24="",G24=""),"falta dato",E24*G24))</f>
      </c>
      <c r="I24" s="18"/>
    </row>
    <row r="25" spans="1:9" x14ac:dyDescent="0.25">
      <c r="A25" s="17"/>
      <c r="B25" s="18"/>
      <c r="C25" s="18"/>
      <c r="D25" s="18"/>
      <c r="E25" s="19"/>
      <c r="F25" s="18"/>
      <c r="G25" s="20"/>
      <c r="H25" s="16">
        <f>IF(AND(E25="",G25=""),"",IF(OR(E25="",G25=""),"falta dato",E25*G25))</f>
      </c>
      <c r="I25" s="18"/>
    </row>
    <row r="26" spans="1:9" x14ac:dyDescent="0.25">
      <c r="A26" s="17"/>
      <c r="B26" s="18"/>
      <c r="C26" s="18"/>
      <c r="D26" s="18"/>
      <c r="E26" s="19"/>
      <c r="F26" s="18"/>
      <c r="G26" s="20"/>
      <c r="H26" s="16">
        <f>IF(AND(E26="",G26=""),"",IF(OR(E26="",G26=""),"falta dato",E26*G26))</f>
      </c>
      <c r="I26" s="18"/>
    </row>
    <row r="27" spans="1:9" x14ac:dyDescent="0.25">
      <c r="A27" s="17"/>
      <c r="B27" s="18"/>
      <c r="C27" s="18"/>
      <c r="D27" s="18"/>
      <c r="E27" s="19"/>
      <c r="F27" s="18"/>
      <c r="G27" s="20"/>
      <c r="H27" s="16">
        <f>IF(AND(E27="",G27=""),"",IF(OR(E27="",G27=""),"falta dato",E27*G27))</f>
      </c>
      <c r="I27" s="18"/>
    </row>
    <row r="28" spans="1:9" x14ac:dyDescent="0.25">
      <c r="A28" s="17"/>
      <c r="B28" s="18"/>
      <c r="C28" s="18"/>
      <c r="D28" s="18"/>
      <c r="E28" s="19"/>
      <c r="F28" s="18"/>
      <c r="G28" s="20"/>
      <c r="H28" s="16">
        <f>IF(AND(E28="",G28=""),"",IF(OR(E28="",G28=""),"falta dato",E28*G28))</f>
      </c>
      <c r="I28" s="18"/>
    </row>
    <row r="29" spans="1:9" x14ac:dyDescent="0.25">
      <c r="A29" s="17"/>
      <c r="B29" s="18"/>
      <c r="C29" s="18"/>
      <c r="D29" s="18"/>
      <c r="E29" s="19"/>
      <c r="F29" s="18"/>
      <c r="G29" s="20"/>
      <c r="H29" s="16">
        <f>IF(AND(E29="",G29=""),"",IF(OR(E29="",G29=""),"falta dato",E29*G29))</f>
      </c>
      <c r="I29" s="18"/>
    </row>
    <row r="30" spans="1:9" x14ac:dyDescent="0.25">
      <c r="A30" s="17"/>
      <c r="B30" s="18"/>
      <c r="C30" s="18"/>
      <c r="D30" s="18"/>
      <c r="E30" s="19"/>
      <c r="F30" s="18"/>
      <c r="G30" s="20"/>
      <c r="H30" s="16">
        <f>IF(AND(E30="",G30=""),"",IF(OR(E30="",G30=""),"falta dato",E30*G30))</f>
      </c>
      <c r="I30" s="18"/>
    </row>
    <row r="31" spans="1:9" x14ac:dyDescent="0.25">
      <c r="A31" s="17"/>
      <c r="B31" s="18"/>
      <c r="C31" s="18"/>
      <c r="D31" s="18"/>
      <c r="E31" s="19"/>
      <c r="F31" s="18"/>
      <c r="G31" s="20"/>
      <c r="H31" s="16">
        <f>IF(AND(E31="",G31=""),"",IF(OR(E31="",G31=""),"falta dato",E31*G31))</f>
      </c>
      <c r="I31" s="18"/>
    </row>
    <row r="32" spans="1:9" x14ac:dyDescent="0.25">
      <c r="A32" s="17"/>
      <c r="B32" s="18"/>
      <c r="C32" s="18"/>
      <c r="D32" s="18"/>
      <c r="E32" s="19"/>
      <c r="F32" s="18"/>
      <c r="G32" s="20"/>
      <c r="H32" s="16">
        <f>IF(AND(E32="",G32=""),"",IF(OR(E32="",G32=""),"falta dato",E32*G32))</f>
      </c>
      <c r="I32" s="18"/>
    </row>
    <row r="33" spans="1:9" x14ac:dyDescent="0.25">
      <c r="A33" s="17"/>
      <c r="B33" s="18"/>
      <c r="C33" s="18"/>
      <c r="D33" s="18"/>
      <c r="E33" s="19"/>
      <c r="F33" s="18"/>
      <c r="G33" s="20"/>
      <c r="H33" s="16">
        <f>IF(AND(E33="",G33=""),"",IF(OR(E33="",G33=""),"falta dato",E33*G33))</f>
      </c>
      <c r="I33" s="18"/>
    </row>
    <row r="34" spans="1:9" x14ac:dyDescent="0.25">
      <c r="A34" s="17"/>
      <c r="B34" s="18"/>
      <c r="C34" s="18"/>
      <c r="D34" s="18"/>
      <c r="E34" s="19"/>
      <c r="F34" s="18"/>
      <c r="G34" s="20"/>
      <c r="H34" s="16">
        <f>IF(AND(E34="",G34=""),"",IF(OR(E34="",G34=""),"falta dato",E34*G34))</f>
      </c>
      <c r="I34" s="18"/>
    </row>
    <row r="35" spans="1:9" x14ac:dyDescent="0.25">
      <c r="A35" s="17"/>
      <c r="B35" s="18"/>
      <c r="C35" s="18"/>
      <c r="D35" s="18"/>
      <c r="E35" s="19"/>
      <c r="F35" s="18"/>
      <c r="G35" s="20"/>
      <c r="H35" s="16">
        <f>IF(AND(E35="",G35=""),"",IF(OR(E35="",G35=""),"falta dato",E35*G35))</f>
      </c>
      <c r="I35" s="18"/>
    </row>
    <row r="36" spans="1:9" x14ac:dyDescent="0.25">
      <c r="A36" s="17"/>
      <c r="B36" s="18"/>
      <c r="C36" s="18"/>
      <c r="D36" s="18"/>
      <c r="E36" s="19"/>
      <c r="F36" s="18"/>
      <c r="G36" s="20"/>
      <c r="H36" s="16">
        <f>IF(AND(E36="",G36=""),"",IF(OR(E36="",G36=""),"falta dato",E36*G36))</f>
      </c>
      <c r="I36" s="18"/>
    </row>
    <row r="37" spans="1:9" x14ac:dyDescent="0.25">
      <c r="A37" s="17"/>
      <c r="B37" s="18"/>
      <c r="C37" s="18"/>
      <c r="D37" s="18"/>
      <c r="E37" s="19"/>
      <c r="F37" s="18"/>
      <c r="G37" s="20"/>
      <c r="H37" s="16">
        <f>IF(AND(E37="",G37=""),"",IF(OR(E37="",G37=""),"falta dato",E37*G37))</f>
      </c>
      <c r="I37" s="18"/>
    </row>
    <row r="38" spans="1:9" x14ac:dyDescent="0.25">
      <c r="A38" s="17"/>
      <c r="B38" s="18"/>
      <c r="C38" s="18"/>
      <c r="D38" s="18"/>
      <c r="E38" s="19"/>
      <c r="F38" s="18"/>
      <c r="G38" s="20"/>
      <c r="H38" s="16">
        <f>IF(AND(E38="",G38=""),"",IF(OR(E38="",G38=""),"falta dato",E38*G38))</f>
      </c>
      <c r="I38" s="18"/>
    </row>
    <row r="39" spans="1:9" x14ac:dyDescent="0.25">
      <c r="A39" s="17"/>
      <c r="B39" s="18"/>
      <c r="C39" s="18"/>
      <c r="D39" s="18"/>
      <c r="E39" s="19"/>
      <c r="F39" s="18"/>
      <c r="G39" s="20"/>
      <c r="H39" s="16">
        <f>IF(AND(E39="",G39=""),"",IF(OR(E39="",G39=""),"falta dato",E39*G39))</f>
      </c>
      <c r="I39" s="18"/>
    </row>
    <row r="40" spans="1:9" x14ac:dyDescent="0.25">
      <c r="A40" s="17"/>
      <c r="B40" s="18"/>
      <c r="C40" s="18"/>
      <c r="D40" s="18"/>
      <c r="E40" s="19"/>
      <c r="F40" s="18"/>
      <c r="G40" s="20"/>
      <c r="H40" s="16">
        <f>IF(AND(E40="",G40=""),"",IF(OR(E40="",G40=""),"falta dato",E40*G40))</f>
      </c>
      <c r="I40" s="18"/>
    </row>
    <row r="41" spans="1:9" x14ac:dyDescent="0.25">
      <c r="A41" s="17"/>
      <c r="B41" s="18"/>
      <c r="C41" s="18"/>
      <c r="D41" s="18"/>
      <c r="E41" s="19"/>
      <c r="F41" s="18"/>
      <c r="G41" s="20"/>
      <c r="H41" s="16">
        <f>IF(AND(E41="",G41=""),"",IF(OR(E41="",G41=""),"falta dato",E41*G41))</f>
      </c>
      <c r="I41" s="18"/>
    </row>
    <row r="42" spans="1:9" x14ac:dyDescent="0.25">
      <c r="A42" s="17"/>
      <c r="B42" s="18"/>
      <c r="C42" s="18"/>
      <c r="D42" s="18"/>
      <c r="E42" s="19"/>
      <c r="F42" s="18"/>
      <c r="G42" s="20"/>
      <c r="H42" s="16">
        <f>IF(AND(E42="",G42=""),"",IF(OR(E42="",G42=""),"falta dato",E42*G42))</f>
      </c>
      <c r="I42" s="18"/>
    </row>
    <row r="43" spans="1:9" x14ac:dyDescent="0.25">
      <c r="A43" s="17"/>
      <c r="B43" s="18"/>
      <c r="C43" s="18"/>
      <c r="D43" s="18"/>
      <c r="E43" s="19"/>
      <c r="F43" s="18"/>
      <c r="G43" s="20"/>
      <c r="H43" s="16">
        <f>IF(AND(E43="",G43=""),"",IF(OR(E43="",G43=""),"falta dato",E43*G43))</f>
      </c>
      <c r="I43" s="18"/>
    </row>
    <row r="44" spans="1:9" x14ac:dyDescent="0.25">
      <c r="A44" s="17"/>
      <c r="B44" s="18"/>
      <c r="C44" s="18"/>
      <c r="D44" s="18"/>
      <c r="E44" s="19"/>
      <c r="F44" s="18"/>
      <c r="G44" s="20"/>
      <c r="H44" s="16">
        <f>IF(AND(E44="",G44=""),"",IF(OR(E44="",G44=""),"falta dato",E44*G44))</f>
      </c>
      <c r="I44" s="18"/>
    </row>
    <row r="45" spans="1:9" x14ac:dyDescent="0.25">
      <c r="A45" s="17"/>
      <c r="B45" s="18"/>
      <c r="C45" s="18"/>
      <c r="D45" s="18"/>
      <c r="E45" s="19"/>
      <c r="F45" s="18"/>
      <c r="G45" s="20"/>
      <c r="H45" s="16">
        <f>IF(AND(E45="",G45=""),"",IF(OR(E45="",G45=""),"falta dato",E45*G45))</f>
      </c>
      <c r="I45" s="18"/>
    </row>
    <row r="46" spans="1:9" x14ac:dyDescent="0.25">
      <c r="A46" s="17"/>
      <c r="B46" s="18"/>
      <c r="C46" s="18"/>
      <c r="D46" s="18"/>
      <c r="E46" s="19"/>
      <c r="F46" s="18"/>
      <c r="G46" s="20"/>
      <c r="H46" s="16">
        <f>IF(AND(E46="",G46=""),"",IF(OR(E46="",G46=""),"falta dato",E46*G46))</f>
      </c>
      <c r="I46" s="18"/>
    </row>
    <row r="47" spans="1:9" x14ac:dyDescent="0.25">
      <c r="A47" s="17"/>
      <c r="B47" s="18"/>
      <c r="C47" s="18"/>
      <c r="D47" s="18"/>
      <c r="E47" s="19"/>
      <c r="F47" s="18"/>
      <c r="G47" s="20"/>
      <c r="H47" s="16">
        <f>IF(AND(E47="",G47=""),"",IF(OR(E47="",G47=""),"falta dato",E47*G47))</f>
      </c>
      <c r="I47" s="18"/>
    </row>
    <row r="48" spans="1:9" x14ac:dyDescent="0.25">
      <c r="A48" s="17"/>
      <c r="B48" s="18"/>
      <c r="C48" s="18"/>
      <c r="D48" s="18"/>
      <c r="E48" s="19"/>
      <c r="F48" s="18"/>
      <c r="G48" s="20"/>
      <c r="H48" s="16">
        <f>IF(AND(E48="",G48=""),"",IF(OR(E48="",G48=""),"falta dato",E48*G48))</f>
      </c>
      <c r="I48" s="18"/>
    </row>
    <row r="49" spans="1:9" x14ac:dyDescent="0.25">
      <c r="A49" s="17"/>
      <c r="B49" s="18"/>
      <c r="C49" s="18"/>
      <c r="D49" s="18"/>
      <c r="E49" s="19"/>
      <c r="F49" s="18"/>
      <c r="G49" s="20"/>
      <c r="H49" s="16">
        <f>IF(AND(E49="",G49=""),"",IF(OR(E49="",G49=""),"falta dato",E49*G49))</f>
      </c>
      <c r="I49" s="18"/>
    </row>
    <row r="50" spans="1:9" x14ac:dyDescent="0.25">
      <c r="A50" s="17"/>
      <c r="B50" s="18"/>
      <c r="C50" s="18"/>
      <c r="D50" s="18"/>
      <c r="E50" s="19"/>
      <c r="F50" s="18"/>
      <c r="G50" s="20"/>
      <c r="H50" s="16">
        <f>IF(AND(E50="",G50=""),"",IF(OR(E50="",G50=""),"falta dato",E50*G50))</f>
      </c>
      <c r="I50" s="18"/>
    </row>
    <row r="51" spans="1:9" x14ac:dyDescent="0.25">
      <c r="A51" s="17"/>
      <c r="B51" s="18"/>
      <c r="C51" s="18"/>
      <c r="D51" s="18"/>
      <c r="E51" s="19"/>
      <c r="F51" s="18"/>
      <c r="G51" s="20"/>
      <c r="H51" s="16">
        <f>IF(AND(E51="",G51=""),"",IF(OR(E51="",G51=""),"falta dato",E51*G51))</f>
      </c>
      <c r="I51" s="18"/>
    </row>
    <row r="52" spans="1:9" x14ac:dyDescent="0.25">
      <c r="A52" s="17"/>
      <c r="B52" s="18"/>
      <c r="C52" s="18"/>
      <c r="D52" s="18"/>
      <c r="E52" s="19"/>
      <c r="F52" s="18"/>
      <c r="G52" s="20"/>
      <c r="H52" s="16">
        <f>IF(AND(E52="",G52=""),"",IF(OR(E52="",G52=""),"falta dato",E52*G52))</f>
      </c>
      <c r="I52" s="18"/>
    </row>
    <row r="53" spans="1:9" x14ac:dyDescent="0.25">
      <c r="A53" s="17"/>
      <c r="B53" s="18"/>
      <c r="C53" s="18"/>
      <c r="D53" s="18"/>
      <c r="E53" s="19"/>
      <c r="F53" s="18"/>
      <c r="G53" s="20"/>
      <c r="H53" s="16">
        <f>IF(AND(E53="",G53=""),"",IF(OR(E53="",G53=""),"falta dato",E53*G53))</f>
      </c>
      <c r="I53" s="18"/>
    </row>
    <row r="54" spans="1:9" x14ac:dyDescent="0.25">
      <c r="A54" s="17"/>
      <c r="B54" s="18"/>
      <c r="C54" s="18"/>
      <c r="D54" s="18"/>
      <c r="E54" s="19"/>
      <c r="F54" s="18"/>
      <c r="G54" s="20"/>
      <c r="H54" s="16">
        <f>IF(AND(E54="",G54=""),"",IF(OR(E54="",G54=""),"falta dato",E54*G54))</f>
      </c>
      <c r="I54" s="18"/>
    </row>
    <row r="55" spans="1:9" x14ac:dyDescent="0.25">
      <c r="A55" s="17"/>
      <c r="B55" s="18"/>
      <c r="C55" s="18"/>
      <c r="D55" s="18"/>
      <c r="E55" s="19"/>
      <c r="F55" s="18"/>
      <c r="G55" s="20"/>
      <c r="H55" s="16">
        <f>IF(AND(E55="",G55=""),"",IF(OR(E55="",G55=""),"falta dato",E55*G55))</f>
      </c>
      <c r="I55" s="18"/>
    </row>
    <row r="56" spans="1:9" x14ac:dyDescent="0.25">
      <c r="A56" s="17"/>
      <c r="B56" s="18"/>
      <c r="C56" s="18"/>
      <c r="D56" s="18"/>
      <c r="E56" s="19"/>
      <c r="F56" s="18"/>
      <c r="G56" s="20"/>
      <c r="H56" s="16">
        <f>IF(AND(E56="",G56=""),"",IF(OR(E56="",G56=""),"falta dato",E56*G56))</f>
      </c>
      <c r="I56" s="18"/>
    </row>
    <row r="57" spans="1:9" x14ac:dyDescent="0.25">
      <c r="A57" s="17"/>
      <c r="B57" s="18"/>
      <c r="C57" s="18"/>
      <c r="D57" s="18"/>
      <c r="E57" s="19"/>
      <c r="F57" s="18"/>
      <c r="G57" s="20"/>
      <c r="H57" s="16">
        <f>IF(AND(E57="",G57=""),"",IF(OR(E57="",G57=""),"falta dato",E57*G57))</f>
      </c>
      <c r="I57" s="18"/>
    </row>
    <row r="58" spans="1:9" x14ac:dyDescent="0.25">
      <c r="A58" s="17"/>
      <c r="B58" s="18"/>
      <c r="C58" s="18"/>
      <c r="D58" s="18"/>
      <c r="E58" s="19"/>
      <c r="F58" s="18"/>
      <c r="G58" s="20"/>
      <c r="H58" s="16">
        <f>IF(AND(E58="",G58=""),"",IF(OR(E58="",G58=""),"falta dato",E58*G58))</f>
      </c>
      <c r="I58" s="18"/>
    </row>
    <row r="59" spans="1:9" x14ac:dyDescent="0.25">
      <c r="A59" s="17"/>
      <c r="B59" s="18"/>
      <c r="C59" s="18"/>
      <c r="D59" s="18"/>
      <c r="E59" s="19"/>
      <c r="F59" s="18"/>
      <c r="G59" s="20"/>
      <c r="H59" s="16">
        <f>IF(AND(E59="",G59=""),"",IF(OR(E59="",G59=""),"falta dato",E59*G59))</f>
      </c>
      <c r="I59" s="18"/>
    </row>
    <row r="60" spans="1:9" x14ac:dyDescent="0.25">
      <c r="A60" s="17"/>
      <c r="B60" s="18"/>
      <c r="C60" s="18"/>
      <c r="D60" s="18"/>
      <c r="E60" s="19"/>
      <c r="F60" s="18"/>
      <c r="G60" s="20"/>
      <c r="H60" s="16">
        <f>IF(AND(E60="",G60=""),"",IF(OR(E60="",G60=""),"falta dato",E60*G60))</f>
      </c>
      <c r="I60" s="18"/>
    </row>
    <row r="61" spans="1:9" x14ac:dyDescent="0.25">
      <c r="A61" s="17"/>
      <c r="B61" s="18"/>
      <c r="C61" s="18"/>
      <c r="D61" s="18"/>
      <c r="E61" s="19"/>
      <c r="F61" s="18"/>
      <c r="G61" s="20"/>
      <c r="H61" s="16">
        <f>IF(AND(E61="",G61=""),"",IF(OR(E61="",G61=""),"falta dato",E61*G61))</f>
      </c>
      <c r="I61" s="18"/>
    </row>
    <row r="62" spans="1:9" x14ac:dyDescent="0.25">
      <c r="A62" s="17"/>
      <c r="B62" s="18"/>
      <c r="C62" s="18"/>
      <c r="D62" s="18"/>
      <c r="E62" s="19"/>
      <c r="F62" s="18"/>
      <c r="G62" s="20"/>
      <c r="H62" s="16">
        <f>IF(AND(E62="",G62=""),"",IF(OR(E62="",G62=""),"falta dato",E62*G62))</f>
      </c>
      <c r="I62" s="18"/>
    </row>
    <row r="63" spans="1:9" x14ac:dyDescent="0.25">
      <c r="A63" s="17"/>
      <c r="B63" s="18"/>
      <c r="C63" s="18"/>
      <c r="D63" s="18"/>
      <c r="E63" s="19"/>
      <c r="F63" s="18"/>
      <c r="G63" s="20"/>
      <c r="H63" s="16">
        <f>IF(AND(E63="",G63=""),"",IF(OR(E63="",G63=""),"falta dato",E63*G63))</f>
      </c>
      <c r="I63" s="18"/>
    </row>
    <row r="64" spans="1:9" x14ac:dyDescent="0.25">
      <c r="A64" s="17"/>
      <c r="B64" s="18"/>
      <c r="C64" s="18"/>
      <c r="D64" s="18"/>
      <c r="E64" s="19"/>
      <c r="F64" s="18"/>
      <c r="G64" s="20"/>
      <c r="H64" s="16">
        <f>IF(AND(E64="",G64=""),"",IF(OR(E64="",G64=""),"falta dato",E64*G64))</f>
      </c>
      <c r="I64" s="18"/>
    </row>
    <row r="65" spans="1:9" x14ac:dyDescent="0.25">
      <c r="A65" s="17"/>
      <c r="B65" s="18"/>
      <c r="C65" s="18"/>
      <c r="D65" s="18"/>
      <c r="E65" s="19"/>
      <c r="F65" s="18"/>
      <c r="G65" s="20"/>
      <c r="H65" s="16">
        <f>IF(AND(E65="",G65=""),"",IF(OR(E65="",G65=""),"falta dato",E65*G65))</f>
      </c>
      <c r="I65" s="18"/>
    </row>
    <row r="66" spans="1:9" x14ac:dyDescent="0.25">
      <c r="A66" s="17"/>
      <c r="B66" s="18"/>
      <c r="C66" s="18"/>
      <c r="D66" s="18"/>
      <c r="E66" s="19"/>
      <c r="F66" s="18"/>
      <c r="G66" s="20"/>
      <c r="H66" s="16">
        <f>IF(AND(E66="",G66=""),"",IF(OR(E66="",G66=""),"falta dato",E66*G66))</f>
      </c>
      <c r="I66" s="18"/>
    </row>
    <row r="67" spans="1:9" x14ac:dyDescent="0.25">
      <c r="A67" s="17"/>
      <c r="B67" s="18"/>
      <c r="C67" s="18"/>
      <c r="D67" s="18"/>
      <c r="E67" s="19"/>
      <c r="F67" s="18"/>
      <c r="G67" s="20"/>
      <c r="H67" s="16">
        <f>IF(AND(E67="",G67=""),"",IF(OR(E67="",G67=""),"falta dato",E67*G67))</f>
      </c>
      <c r="I67" s="18"/>
    </row>
    <row r="68" spans="1:9" x14ac:dyDescent="0.25">
      <c r="A68" s="17"/>
      <c r="B68" s="18"/>
      <c r="C68" s="18"/>
      <c r="D68" s="18"/>
      <c r="E68" s="19"/>
      <c r="F68" s="18"/>
      <c r="G68" s="20"/>
      <c r="H68" s="16">
        <f>IF(AND(E68="",G68=""),"",IF(OR(E68="",G68=""),"falta dato",E68*G68))</f>
      </c>
      <c r="I68" s="18"/>
    </row>
    <row r="69" spans="1:9" x14ac:dyDescent="0.25">
      <c r="A69" s="17"/>
      <c r="B69" s="18"/>
      <c r="C69" s="18"/>
      <c r="D69" s="18"/>
      <c r="E69" s="19"/>
      <c r="F69" s="18"/>
      <c r="G69" s="20"/>
      <c r="H69" s="16">
        <f>IF(AND(E69="",G69=""),"",IF(OR(E69="",G69=""),"falta dato",E69*G69))</f>
      </c>
      <c r="I69" s="18"/>
    </row>
    <row r="70" spans="1:9" x14ac:dyDescent="0.25">
      <c r="A70" s="17"/>
      <c r="B70" s="18"/>
      <c r="C70" s="18"/>
      <c r="D70" s="18"/>
      <c r="E70" s="19"/>
      <c r="F70" s="18"/>
      <c r="G70" s="20"/>
      <c r="H70" s="16">
        <f>IF(AND(E70="",G70=""),"",IF(OR(E70="",G70=""),"falta dato",E70*G70))</f>
      </c>
      <c r="I70" s="18"/>
    </row>
    <row r="71" spans="1:9" x14ac:dyDescent="0.25">
      <c r="A71" s="17"/>
      <c r="B71" s="18"/>
      <c r="C71" s="18"/>
      <c r="D71" s="18"/>
      <c r="E71" s="19"/>
      <c r="F71" s="18"/>
      <c r="G71" s="20"/>
      <c r="H71" s="16">
        <f>IF(AND(E71="",G71=""),"",IF(OR(E71="",G71=""),"falta dato",E71*G71))</f>
      </c>
      <c r="I71" s="18"/>
    </row>
    <row r="72" spans="1:9" x14ac:dyDescent="0.25">
      <c r="A72" s="17"/>
      <c r="B72" s="18"/>
      <c r="C72" s="18"/>
      <c r="D72" s="18"/>
      <c r="E72" s="19"/>
      <c r="F72" s="18"/>
      <c r="G72" s="20"/>
      <c r="H72" s="16">
        <f>IF(AND(E72="",G72=""),"",IF(OR(E72="",G72=""),"falta dato",E72*G72))</f>
      </c>
      <c r="I72" s="18"/>
    </row>
    <row r="73" spans="1:9" x14ac:dyDescent="0.25">
      <c r="A73" s="17"/>
      <c r="B73" s="18"/>
      <c r="C73" s="18"/>
      <c r="D73" s="18"/>
      <c r="E73" s="19"/>
      <c r="F73" s="18"/>
      <c r="G73" s="20"/>
      <c r="H73" s="16">
        <f>IF(AND(E73="",G73=""),"",IF(OR(E73="",G73=""),"falta dato",E73*G73))</f>
      </c>
      <c r="I73" s="18"/>
    </row>
    <row r="74" spans="1:9" x14ac:dyDescent="0.25">
      <c r="A74" s="17"/>
      <c r="B74" s="18"/>
      <c r="C74" s="18"/>
      <c r="D74" s="18"/>
      <c r="E74" s="19"/>
      <c r="F74" s="18"/>
      <c r="G74" s="20"/>
      <c r="H74" s="16">
        <f>IF(AND(E74="",G74=""),"",IF(OR(E74="",G74=""),"falta dato",E74*G74))</f>
      </c>
      <c r="I74" s="18"/>
    </row>
    <row r="75" spans="1:9" x14ac:dyDescent="0.25">
      <c r="A75" s="17"/>
      <c r="B75" s="18"/>
      <c r="C75" s="18"/>
      <c r="D75" s="18"/>
      <c r="E75" s="19"/>
      <c r="F75" s="18"/>
      <c r="G75" s="20"/>
      <c r="H75" s="16">
        <f>IF(AND(E75="",G75=""),"",IF(OR(E75="",G75=""),"falta dato",E75*G75))</f>
      </c>
      <c r="I75" s="18"/>
    </row>
    <row r="76" spans="1:9" x14ac:dyDescent="0.25">
      <c r="A76" s="17"/>
      <c r="B76" s="18"/>
      <c r="C76" s="18"/>
      <c r="D76" s="18"/>
      <c r="E76" s="19"/>
      <c r="F76" s="18"/>
      <c r="G76" s="20"/>
      <c r="H76" s="16">
        <f>IF(AND(E76="",G76=""),"",IF(OR(E76="",G76=""),"falta dato",E76*G76))</f>
      </c>
      <c r="I76" s="18"/>
    </row>
    <row r="77" spans="1:9" x14ac:dyDescent="0.25">
      <c r="A77" s="17"/>
      <c r="B77" s="18"/>
      <c r="C77" s="18"/>
      <c r="D77" s="18"/>
      <c r="E77" s="19"/>
      <c r="F77" s="18"/>
      <c r="G77" s="20"/>
      <c r="H77" s="16">
        <f>IF(AND(E77="",G77=""),"",IF(OR(E77="",G77=""),"falta dato",E77*G77))</f>
      </c>
      <c r="I77" s="18"/>
    </row>
    <row r="78" spans="1:9" x14ac:dyDescent="0.25">
      <c r="A78" s="17"/>
      <c r="B78" s="18"/>
      <c r="C78" s="18"/>
      <c r="D78" s="18"/>
      <c r="E78" s="19"/>
      <c r="F78" s="18"/>
      <c r="G78" s="20"/>
      <c r="H78" s="16">
        <f>IF(AND(E78="",G78=""),"",IF(OR(E78="",G78=""),"falta dato",E78*G78))</f>
      </c>
      <c r="I78" s="18"/>
    </row>
    <row r="79" spans="1:9" x14ac:dyDescent="0.25">
      <c r="A79" s="17"/>
      <c r="B79" s="18"/>
      <c r="C79" s="18"/>
      <c r="D79" s="18"/>
      <c r="E79" s="19"/>
      <c r="F79" s="18"/>
      <c r="G79" s="20"/>
      <c r="H79" s="16">
        <f>IF(AND(E79="",G79=""),"",IF(OR(E79="",G79=""),"falta dato",E79*G79))</f>
      </c>
      <c r="I79" s="18"/>
    </row>
    <row r="80" spans="1:9" x14ac:dyDescent="0.25">
      <c r="A80" s="17"/>
      <c r="B80" s="18"/>
      <c r="C80" s="18"/>
      <c r="D80" s="18"/>
      <c r="E80" s="19"/>
      <c r="F80" s="18"/>
      <c r="G80" s="20"/>
      <c r="H80" s="16">
        <f>IF(AND(E80="",G80=""),"",IF(OR(E80="",G80=""),"falta dato",E80*G80))</f>
      </c>
      <c r="I80" s="18"/>
    </row>
    <row r="81" spans="1:9" x14ac:dyDescent="0.25">
      <c r="A81" s="17"/>
      <c r="B81" s="18"/>
      <c r="C81" s="18"/>
      <c r="D81" s="18"/>
      <c r="E81" s="19"/>
      <c r="F81" s="18"/>
      <c r="G81" s="20"/>
      <c r="H81" s="16">
        <f>IF(AND(E81="",G81=""),"",IF(OR(E81="",G81=""),"falta dato",E81*G81))</f>
      </c>
      <c r="I81" s="18"/>
    </row>
    <row r="82" spans="1:9" x14ac:dyDescent="0.25">
      <c r="A82" s="17"/>
      <c r="B82" s="18"/>
      <c r="C82" s="18"/>
      <c r="D82" s="18"/>
      <c r="E82" s="19"/>
      <c r="F82" s="18"/>
      <c r="G82" s="20"/>
      <c r="H82" s="16">
        <f>IF(AND(E82="",G82=""),"",IF(OR(E82="",G82=""),"falta dato",E82*G82))</f>
      </c>
      <c r="I82" s="18"/>
    </row>
    <row r="83" spans="1:9" x14ac:dyDescent="0.25">
      <c r="A83" s="17"/>
      <c r="B83" s="18"/>
      <c r="C83" s="18"/>
      <c r="D83" s="18"/>
      <c r="E83" s="19"/>
      <c r="F83" s="18"/>
      <c r="G83" s="20"/>
      <c r="H83" s="16">
        <f>IF(AND(E83="",G83=""),"",IF(OR(E83="",G83=""),"falta dato",E83*G83))</f>
      </c>
      <c r="I83" s="18"/>
    </row>
    <row r="84" spans="1:9" x14ac:dyDescent="0.25">
      <c r="A84" s="17"/>
      <c r="B84" s="18"/>
      <c r="C84" s="18"/>
      <c r="D84" s="18"/>
      <c r="E84" s="19"/>
      <c r="F84" s="18"/>
      <c r="G84" s="20"/>
      <c r="H84" s="16">
        <f>IF(AND(E84="",G84=""),"",IF(OR(E84="",G84=""),"falta dato",E84*G84))</f>
      </c>
      <c r="I84" s="18"/>
    </row>
    <row r="85" spans="1:9" x14ac:dyDescent="0.25">
      <c r="A85" s="17"/>
      <c r="B85" s="18"/>
      <c r="C85" s="18"/>
      <c r="D85" s="18"/>
      <c r="E85" s="19"/>
      <c r="F85" s="18"/>
      <c r="G85" s="20"/>
      <c r="H85" s="16">
        <f>IF(AND(E85="",G85=""),"",IF(OR(E85="",G85=""),"falta dato",E85*G85))</f>
      </c>
      <c r="I85" s="18"/>
    </row>
    <row r="86" spans="1:9" x14ac:dyDescent="0.25">
      <c r="A86" s="17"/>
      <c r="B86" s="18"/>
      <c r="C86" s="18"/>
      <c r="D86" s="18"/>
      <c r="E86" s="19"/>
      <c r="F86" s="18"/>
      <c r="G86" s="20"/>
      <c r="H86" s="16">
        <f>IF(AND(E86="",G86=""),"",IF(OR(E86="",G86=""),"falta dato",E86*G86))</f>
      </c>
      <c r="I86" s="18"/>
    </row>
    <row r="87" spans="1:9" x14ac:dyDescent="0.25">
      <c r="A87" s="17"/>
      <c r="B87" s="18"/>
      <c r="C87" s="18"/>
      <c r="D87" s="18"/>
      <c r="E87" s="19"/>
      <c r="F87" s="18"/>
      <c r="G87" s="20"/>
      <c r="H87" s="16">
        <f>IF(AND(E87="",G87=""),"",IF(OR(E87="",G87=""),"falta dato",E87*G87))</f>
      </c>
      <c r="I87" s="18"/>
    </row>
    <row r="88" spans="1:9" x14ac:dyDescent="0.25">
      <c r="A88" s="17"/>
      <c r="B88" s="18"/>
      <c r="C88" s="18"/>
      <c r="D88" s="18"/>
      <c r="E88" s="19"/>
      <c r="F88" s="18"/>
      <c r="G88" s="20"/>
      <c r="H88" s="16">
        <f>IF(AND(E88="",G88=""),"",IF(OR(E88="",G88=""),"falta dato",E88*G88))</f>
      </c>
      <c r="I88" s="18"/>
    </row>
    <row r="89" spans="1:9" x14ac:dyDescent="0.25">
      <c r="A89" s="17"/>
      <c r="B89" s="18"/>
      <c r="C89" s="18"/>
      <c r="D89" s="18"/>
      <c r="E89" s="19"/>
      <c r="F89" s="18"/>
      <c r="G89" s="20"/>
      <c r="H89" s="16">
        <f>IF(AND(E89="",G89=""),"",IF(OR(E89="",G89=""),"falta dato",E89*G89))</f>
      </c>
      <c r="I89" s="18"/>
    </row>
    <row r="90" spans="1:9" x14ac:dyDescent="0.25">
      <c r="A90" s="17"/>
      <c r="B90" s="18"/>
      <c r="C90" s="18"/>
      <c r="D90" s="18"/>
      <c r="E90" s="19"/>
      <c r="F90" s="18"/>
      <c r="G90" s="20"/>
      <c r="H90" s="16">
        <f>IF(AND(E90="",G90=""),"",IF(OR(E90="",G90=""),"falta dato",E90*G90))</f>
      </c>
      <c r="I90" s="18"/>
    </row>
    <row r="91" spans="1:9" x14ac:dyDescent="0.25">
      <c r="A91" s="17"/>
      <c r="B91" s="18"/>
      <c r="C91" s="18"/>
      <c r="D91" s="18"/>
      <c r="E91" s="19"/>
      <c r="F91" s="18"/>
      <c r="G91" s="20"/>
      <c r="H91" s="16">
        <f>IF(AND(E91="",G91=""),"",IF(OR(E91="",G91=""),"falta dato",E91*G91))</f>
      </c>
      <c r="I91" s="18"/>
    </row>
    <row r="92" spans="1:9" x14ac:dyDescent="0.25">
      <c r="A92" s="17"/>
      <c r="B92" s="18"/>
      <c r="C92" s="18"/>
      <c r="D92" s="18"/>
      <c r="E92" s="19"/>
      <c r="F92" s="18"/>
      <c r="G92" s="20"/>
      <c r="H92" s="16">
        <f>IF(AND(E92="",G92=""),"",IF(OR(E92="",G92=""),"falta dato",E92*G92))</f>
      </c>
      <c r="I92" s="18"/>
    </row>
    <row r="93" spans="1:9" x14ac:dyDescent="0.25">
      <c r="A93" s="17"/>
      <c r="B93" s="18"/>
      <c r="C93" s="18"/>
      <c r="D93" s="18"/>
      <c r="E93" s="19"/>
      <c r="F93" s="18"/>
      <c r="G93" s="20"/>
      <c r="H93" s="16">
        <f>IF(AND(E93="",G93=""),"",IF(OR(E93="",G93=""),"falta dato",E93*G93))</f>
      </c>
      <c r="I93" s="18"/>
    </row>
    <row r="94" spans="1:9" x14ac:dyDescent="0.25">
      <c r="A94" s="17"/>
      <c r="B94" s="18"/>
      <c r="C94" s="18"/>
      <c r="D94" s="18"/>
      <c r="E94" s="19"/>
      <c r="F94" s="18"/>
      <c r="G94" s="20"/>
      <c r="H94" s="16">
        <f>IF(AND(E94="",G94=""),"",IF(OR(E94="",G94=""),"falta dato",E94*G94))</f>
      </c>
      <c r="I94" s="18"/>
    </row>
    <row r="95" spans="1:9" x14ac:dyDescent="0.25">
      <c r="A95" s="17"/>
      <c r="B95" s="18"/>
      <c r="C95" s="18"/>
      <c r="D95" s="18"/>
      <c r="E95" s="19"/>
      <c r="F95" s="18"/>
      <c r="G95" s="20"/>
      <c r="H95" s="16">
        <f>IF(AND(E95="",G95=""),"",IF(OR(E95="",G95=""),"falta dato",E95*G95))</f>
      </c>
      <c r="I95" s="18"/>
    </row>
    <row r="96" spans="1:9" x14ac:dyDescent="0.25">
      <c r="A96" s="17"/>
      <c r="B96" s="18"/>
      <c r="C96" s="18"/>
      <c r="D96" s="18"/>
      <c r="E96" s="19"/>
      <c r="F96" s="18"/>
      <c r="G96" s="20"/>
      <c r="H96" s="16">
        <f>IF(AND(E96="",G96=""),"",IF(OR(E96="",G96=""),"falta dato",E96*G96))</f>
      </c>
      <c r="I96" s="18"/>
    </row>
    <row r="97" spans="1:9" x14ac:dyDescent="0.25">
      <c r="A97" s="17"/>
      <c r="B97" s="18"/>
      <c r="C97" s="18"/>
      <c r="D97" s="18"/>
      <c r="E97" s="19"/>
      <c r="F97" s="18"/>
      <c r="G97" s="20"/>
      <c r="H97" s="16">
        <f>IF(AND(E97="",G97=""),"",IF(OR(E97="",G97=""),"falta dato",E97*G97))</f>
      </c>
      <c r="I97" s="18"/>
    </row>
    <row r="98" spans="1:9" x14ac:dyDescent="0.25">
      <c r="A98" s="17"/>
      <c r="B98" s="18"/>
      <c r="C98" s="18"/>
      <c r="D98" s="18"/>
      <c r="E98" s="19"/>
      <c r="F98" s="18"/>
      <c r="G98" s="20"/>
      <c r="H98" s="16">
        <f>IF(AND(E98="",G98=""),"",IF(OR(E98="",G98=""),"falta dato",E98*G98))</f>
      </c>
      <c r="I98" s="18"/>
    </row>
    <row r="99" spans="1:9" x14ac:dyDescent="0.25">
      <c r="A99" s="17"/>
      <c r="B99" s="18"/>
      <c r="C99" s="18"/>
      <c r="D99" s="18"/>
      <c r="E99" s="19"/>
      <c r="F99" s="18"/>
      <c r="G99" s="20"/>
      <c r="H99" s="16">
        <f>IF(AND(E99="",G99=""),"",IF(OR(E99="",G99=""),"falta dato",E99*G99))</f>
      </c>
      <c r="I99" s="18"/>
    </row>
    <row r="100" spans="1:9" x14ac:dyDescent="0.25">
      <c r="A100" s="17"/>
      <c r="B100" s="18"/>
      <c r="C100" s="18"/>
      <c r="D100" s="18"/>
      <c r="E100" s="19"/>
      <c r="F100" s="18"/>
      <c r="G100" s="20"/>
      <c r="H100" s="16">
        <f>IF(AND(E100="",G100=""),"",IF(OR(E100="",G100=""),"falta dato",E100*G100))</f>
      </c>
      <c r="I100" s="18"/>
    </row>
    <row r="101" spans="1:9" x14ac:dyDescent="0.25">
      <c r="A101" s="17"/>
      <c r="B101" s="18"/>
      <c r="C101" s="18"/>
      <c r="D101" s="18"/>
      <c r="E101" s="19"/>
      <c r="F101" s="18"/>
      <c r="G101" s="20"/>
      <c r="H101" s="16">
        <f>IF(AND(E101="",G101=""),"",IF(OR(E101="",G101=""),"falta dato",E101*G101))</f>
      </c>
      <c r="I101" s="18"/>
    </row>
    <row r="102" spans="1:9" x14ac:dyDescent="0.25">
      <c r="A102" s="17"/>
      <c r="B102" s="18"/>
      <c r="C102" s="18"/>
      <c r="D102" s="18"/>
      <c r="E102" s="19"/>
      <c r="F102" s="18"/>
      <c r="G102" s="20"/>
      <c r="H102" s="16">
        <f>IF(AND(E102="",G102=""),"",IF(OR(E102="",G102=""),"falta dato",E102*G102))</f>
      </c>
      <c r="I102" s="18"/>
    </row>
    <row r="103" spans="1:9" x14ac:dyDescent="0.25">
      <c r="A103" s="17"/>
      <c r="B103" s="18"/>
      <c r="C103" s="18"/>
      <c r="D103" s="18"/>
      <c r="E103" s="19"/>
      <c r="F103" s="18"/>
      <c r="G103" s="20"/>
      <c r="H103" s="16">
        <f>IF(AND(E103="",G103=""),"",IF(OR(E103="",G103=""),"falta dato",E103*G103))</f>
      </c>
      <c r="I103" s="18"/>
    </row>
    <row r="104" spans="1:9" x14ac:dyDescent="0.25">
      <c r="A104" s="17"/>
      <c r="B104" s="18"/>
      <c r="C104" s="18"/>
      <c r="D104" s="18"/>
      <c r="E104" s="19"/>
      <c r="F104" s="18"/>
      <c r="G104" s="20"/>
      <c r="H104" s="16">
        <f>IF(AND(E104="",G104=""),"",IF(OR(E104="",G104=""),"falta dato",E104*G104))</f>
      </c>
      <c r="I104" s="18"/>
    </row>
    <row r="105" spans="1:9" x14ac:dyDescent="0.25">
      <c r="A105" s="17"/>
      <c r="B105" s="18"/>
      <c r="C105" s="18"/>
      <c r="D105" s="18"/>
      <c r="E105" s="19"/>
      <c r="F105" s="18"/>
      <c r="G105" s="20"/>
      <c r="H105" s="16">
        <f>IF(AND(E105="",G105=""),"",IF(OR(E105="",G105=""),"falta dato",E105*G105))</f>
      </c>
      <c r="I105" s="18"/>
    </row>
    <row r="106" spans="1:9" x14ac:dyDescent="0.25">
      <c r="A106" s="17"/>
      <c r="B106" s="18"/>
      <c r="C106" s="18"/>
      <c r="D106" s="18"/>
      <c r="E106" s="19"/>
      <c r="F106" s="18"/>
      <c r="G106" s="20"/>
      <c r="H106" s="16">
        <f>IF(AND(E106="",G106=""),"",IF(OR(E106="",G106=""),"falta dato",E106*G106))</f>
      </c>
      <c r="I106" s="18"/>
    </row>
    <row r="107" spans="1:9" x14ac:dyDescent="0.25">
      <c r="A107" s="17"/>
      <c r="B107" s="18"/>
      <c r="C107" s="18"/>
      <c r="D107" s="18"/>
      <c r="E107" s="19"/>
      <c r="F107" s="18"/>
      <c r="G107" s="20"/>
      <c r="H107" s="16">
        <f>IF(AND(E107="",G107=""),"",IF(OR(E107="",G107=""),"falta dato",E107*G107))</f>
      </c>
      <c r="I107" s="18"/>
    </row>
    <row r="108" spans="1:9" x14ac:dyDescent="0.25">
      <c r="A108" s="17"/>
      <c r="B108" s="18"/>
      <c r="C108" s="18"/>
      <c r="D108" s="18"/>
      <c r="E108" s="19"/>
      <c r="F108" s="18"/>
      <c r="G108" s="20"/>
      <c r="H108" s="16">
        <f>IF(AND(E108="",G108=""),"",IF(OR(E108="",G108=""),"falta dato",E108*G108))</f>
      </c>
      <c r="I108" s="18"/>
    </row>
    <row r="109" spans="1:9" x14ac:dyDescent="0.25">
      <c r="A109" s="17"/>
      <c r="B109" s="18"/>
      <c r="C109" s="18"/>
      <c r="D109" s="18"/>
      <c r="E109" s="19"/>
      <c r="F109" s="18"/>
      <c r="G109" s="20"/>
      <c r="H109" s="16">
        <f>IF(AND(E109="",G109=""),"",IF(OR(E109="",G109=""),"falta dato",E109*G109))</f>
      </c>
      <c r="I109" s="18"/>
    </row>
    <row r="110" spans="1:9" x14ac:dyDescent="0.25">
      <c r="A110" s="17"/>
      <c r="B110" s="18"/>
      <c r="C110" s="18"/>
      <c r="D110" s="18"/>
      <c r="E110" s="19"/>
      <c r="F110" s="18"/>
      <c r="G110" s="20"/>
      <c r="H110" s="16">
        <f>IF(AND(E110="",G110=""),"",IF(OR(E110="",G110=""),"falta dato",E110*G110))</f>
      </c>
      <c r="I110" s="18"/>
    </row>
    <row r="111" spans="1:9" x14ac:dyDescent="0.25">
      <c r="A111" s="17"/>
      <c r="B111" s="18"/>
      <c r="C111" s="18"/>
      <c r="D111" s="18"/>
      <c r="E111" s="19"/>
      <c r="F111" s="18"/>
      <c r="G111" s="20"/>
      <c r="H111" s="16">
        <f>IF(AND(E111="",G111=""),"",IF(OR(E111="",G111=""),"falta dato",E111*G111))</f>
      </c>
      <c r="I111" s="18"/>
    </row>
    <row r="112" spans="1:9" x14ac:dyDescent="0.25">
      <c r="A112" s="17"/>
      <c r="B112" s="18"/>
      <c r="C112" s="18"/>
      <c r="D112" s="18"/>
      <c r="E112" s="19"/>
      <c r="F112" s="18"/>
      <c r="G112" s="20"/>
      <c r="H112" s="16">
        <f>IF(AND(E112="",G112=""),"",IF(OR(E112="",G112=""),"falta dato",E112*G112))</f>
      </c>
      <c r="I112" s="18"/>
    </row>
    <row r="113" spans="1:9" x14ac:dyDescent="0.25">
      <c r="A113" s="17"/>
      <c r="B113" s="18"/>
      <c r="C113" s="18"/>
      <c r="D113" s="18"/>
      <c r="E113" s="19"/>
      <c r="F113" s="18"/>
      <c r="G113" s="20"/>
      <c r="H113" s="16">
        <f>IF(AND(E113="",G113=""),"",IF(OR(E113="",G113=""),"falta dato",E113*G113))</f>
      </c>
      <c r="I113" s="18"/>
    </row>
    <row r="114" spans="1:9" x14ac:dyDescent="0.25">
      <c r="A114" s="17"/>
      <c r="B114" s="18"/>
      <c r="C114" s="18"/>
      <c r="D114" s="18"/>
      <c r="E114" s="19"/>
      <c r="F114" s="18"/>
      <c r="G114" s="20"/>
      <c r="H114" s="16">
        <f>IF(AND(E114="",G114=""),"",IF(OR(E114="",G114=""),"falta dato",E114*G114))</f>
      </c>
      <c r="I114" s="18"/>
    </row>
    <row r="115" spans="1:9" x14ac:dyDescent="0.25">
      <c r="A115" s="17"/>
      <c r="B115" s="18"/>
      <c r="C115" s="18"/>
      <c r="D115" s="18"/>
      <c r="E115" s="19"/>
      <c r="F115" s="18"/>
      <c r="G115" s="20"/>
      <c r="H115" s="16">
        <f>IF(AND(E115="",G115=""),"",IF(OR(E115="",G115=""),"falta dato",E115*G115))</f>
      </c>
      <c r="I115" s="18"/>
    </row>
    <row r="116" spans="1:9" x14ac:dyDescent="0.25">
      <c r="A116" s="17"/>
      <c r="B116" s="18"/>
      <c r="C116" s="18"/>
      <c r="D116" s="18"/>
      <c r="E116" s="19"/>
      <c r="F116" s="18"/>
      <c r="G116" s="20"/>
      <c r="H116" s="16">
        <f>IF(AND(E116="",G116=""),"",IF(OR(E116="",G116=""),"falta dato",E116*G116))</f>
      </c>
      <c r="I116" s="18"/>
    </row>
    <row r="117" spans="1:9" x14ac:dyDescent="0.25">
      <c r="A117" s="17"/>
      <c r="B117" s="18"/>
      <c r="C117" s="18"/>
      <c r="D117" s="18"/>
      <c r="E117" s="19"/>
      <c r="F117" s="18"/>
      <c r="G117" s="20"/>
      <c r="H117" s="16">
        <f>IF(AND(E117="",G117=""),"",IF(OR(E117="",G117=""),"falta dato",E117*G117))</f>
      </c>
      <c r="I117" s="18"/>
    </row>
    <row r="118" spans="1:9" x14ac:dyDescent="0.25">
      <c r="A118" s="17"/>
      <c r="B118" s="18"/>
      <c r="C118" s="18"/>
      <c r="D118" s="18"/>
      <c r="E118" s="19"/>
      <c r="F118" s="18"/>
      <c r="G118" s="20"/>
      <c r="H118" s="16">
        <f>IF(AND(E118="",G118=""),"",IF(OR(E118="",G118=""),"falta dato",E118*G118))</f>
      </c>
      <c r="I118" s="18"/>
    </row>
    <row r="119" spans="1:9" x14ac:dyDescent="0.25">
      <c r="A119" s="17"/>
      <c r="B119" s="18"/>
      <c r="C119" s="18"/>
      <c r="D119" s="18"/>
      <c r="E119" s="19"/>
      <c r="F119" s="18"/>
      <c r="G119" s="20"/>
      <c r="H119" s="16">
        <f>IF(AND(E119="",G119=""),"",IF(OR(E119="",G119=""),"falta dato",E119*G119))</f>
      </c>
      <c r="I119" s="18"/>
    </row>
    <row r="120" spans="1:9" x14ac:dyDescent="0.25">
      <c r="A120" s="17"/>
      <c r="B120" s="18"/>
      <c r="C120" s="18"/>
      <c r="D120" s="18"/>
      <c r="E120" s="19"/>
      <c r="F120" s="18"/>
      <c r="G120" s="20"/>
      <c r="H120" s="16">
        <f>IF(AND(E120="",G120=""),"",IF(OR(E120="",G120=""),"falta dato",E120*G120))</f>
      </c>
      <c r="I120" s="18"/>
    </row>
    <row r="121" spans="1:9" x14ac:dyDescent="0.25">
      <c r="A121" s="17"/>
      <c r="B121" s="18"/>
      <c r="C121" s="18"/>
      <c r="D121" s="18"/>
      <c r="E121" s="19"/>
      <c r="F121" s="18"/>
      <c r="G121" s="20"/>
      <c r="H121" s="16">
        <f>IF(AND(E121="",G121=""),"",IF(OR(E121="",G121=""),"falta dato",E121*G121))</f>
      </c>
      <c r="I121" s="18"/>
    </row>
    <row r="122" spans="1:9" x14ac:dyDescent="0.25">
      <c r="A122" s="17"/>
      <c r="B122" s="18"/>
      <c r="C122" s="18"/>
      <c r="D122" s="18"/>
      <c r="E122" s="19"/>
      <c r="F122" s="18"/>
      <c r="G122" s="20"/>
      <c r="H122" s="16">
        <f>IF(AND(E122="",G122=""),"",IF(OR(E122="",G122=""),"falta dato",E122*G122))</f>
      </c>
      <c r="I122" s="18"/>
    </row>
    <row r="123" spans="1:9" x14ac:dyDescent="0.25">
      <c r="A123" s="17"/>
      <c r="B123" s="18"/>
      <c r="C123" s="18"/>
      <c r="D123" s="18"/>
      <c r="E123" s="19"/>
      <c r="F123" s="18"/>
      <c r="G123" s="20"/>
      <c r="H123" s="16">
        <f>IF(AND(E123="",G123=""),"",IF(OR(E123="",G123=""),"falta dato",E123*G123))</f>
      </c>
      <c r="I123" s="18"/>
    </row>
    <row r="124" spans="1:9" x14ac:dyDescent="0.25">
      <c r="A124" s="17"/>
      <c r="B124" s="18"/>
      <c r="C124" s="18"/>
      <c r="D124" s="18"/>
      <c r="E124" s="19"/>
      <c r="F124" s="18"/>
      <c r="G124" s="20"/>
      <c r="H124" s="16">
        <f>IF(AND(E124="",G124=""),"",IF(OR(E124="",G124=""),"falta dato",E124*G124))</f>
      </c>
      <c r="I124" s="18"/>
    </row>
    <row r="125" spans="1:9" x14ac:dyDescent="0.25">
      <c r="A125" s="17"/>
      <c r="B125" s="18"/>
      <c r="C125" s="18"/>
      <c r="D125" s="18"/>
      <c r="E125" s="19"/>
      <c r="F125" s="18"/>
      <c r="G125" s="20"/>
      <c r="H125" s="16">
        <f>IF(AND(E125="",G125=""),"",IF(OR(E125="",G125=""),"falta dato",E125*G125))</f>
      </c>
      <c r="I125" s="18"/>
    </row>
    <row r="126" spans="1:9" x14ac:dyDescent="0.25">
      <c r="A126" s="17"/>
      <c r="B126" s="18"/>
      <c r="C126" s="18"/>
      <c r="D126" s="18"/>
      <c r="E126" s="19"/>
      <c r="F126" s="18"/>
      <c r="G126" s="20"/>
      <c r="H126" s="16">
        <f>IF(AND(E126="",G126=""),"",IF(OR(E126="",G126=""),"falta dato",E126*G126))</f>
      </c>
      <c r="I126" s="18"/>
    </row>
    <row r="127" spans="1:9" x14ac:dyDescent="0.25">
      <c r="A127" s="17"/>
      <c r="B127" s="18"/>
      <c r="C127" s="18"/>
      <c r="D127" s="18"/>
      <c r="E127" s="19"/>
      <c r="F127" s="18"/>
      <c r="G127" s="20"/>
      <c r="H127" s="16">
        <f>IF(AND(E127="",G127=""),"",IF(OR(E127="",G127=""),"falta dato",E127*G127))</f>
      </c>
      <c r="I127" s="18"/>
    </row>
    <row r="128" spans="1:9" x14ac:dyDescent="0.25">
      <c r="A128" s="17"/>
      <c r="B128" s="18"/>
      <c r="C128" s="18"/>
      <c r="D128" s="18"/>
      <c r="E128" s="19"/>
      <c r="F128" s="18"/>
      <c r="G128" s="20"/>
      <c r="H128" s="16">
        <f>IF(AND(E128="",G128=""),"",IF(OR(E128="",G128=""),"falta dato",E128*G128))</f>
      </c>
      <c r="I128" s="18"/>
    </row>
    <row r="129" spans="1:9" x14ac:dyDescent="0.25">
      <c r="A129" s="17"/>
      <c r="B129" s="18"/>
      <c r="C129" s="18"/>
      <c r="D129" s="18"/>
      <c r="E129" s="19"/>
      <c r="F129" s="18"/>
      <c r="G129" s="20"/>
      <c r="H129" s="16">
        <f>IF(AND(E129="",G129=""),"",IF(OR(E129="",G129=""),"falta dato",E129*G129))</f>
      </c>
      <c r="I129" s="18"/>
    </row>
    <row r="130" spans="1:9" x14ac:dyDescent="0.25">
      <c r="A130" s="17"/>
      <c r="B130" s="18"/>
      <c r="C130" s="18"/>
      <c r="D130" s="18"/>
      <c r="E130" s="19"/>
      <c r="F130" s="18"/>
      <c r="G130" s="20"/>
      <c r="H130" s="16">
        <f>IF(AND(E130="",G130=""),"",IF(OR(E130="",G130=""),"falta dato",E130*G130))</f>
      </c>
      <c r="I130" s="18"/>
    </row>
    <row r="131" spans="1:9" x14ac:dyDescent="0.25">
      <c r="A131" s="17"/>
      <c r="B131" s="18"/>
      <c r="C131" s="18"/>
      <c r="D131" s="18"/>
      <c r="E131" s="19"/>
      <c r="F131" s="18"/>
      <c r="G131" s="20"/>
      <c r="H131" s="16">
        <f>IF(AND(E131="",G131=""),"",IF(OR(E131="",G131=""),"falta dato",E131*G131))</f>
      </c>
      <c r="I131" s="18"/>
    </row>
    <row r="132" spans="1:9" x14ac:dyDescent="0.25">
      <c r="A132" s="17"/>
      <c r="B132" s="18"/>
      <c r="C132" s="18"/>
      <c r="D132" s="18"/>
      <c r="E132" s="19"/>
      <c r="F132" s="18"/>
      <c r="G132" s="20"/>
      <c r="H132" s="16">
        <f>IF(AND(E132="",G132=""),"",IF(OR(E132="",G132=""),"falta dato",E132*G132))</f>
      </c>
      <c r="I132" s="18"/>
    </row>
    <row r="133" spans="1:9" x14ac:dyDescent="0.25">
      <c r="A133" s="17"/>
      <c r="B133" s="18"/>
      <c r="C133" s="18"/>
      <c r="D133" s="18"/>
      <c r="E133" s="19"/>
      <c r="F133" s="18"/>
      <c r="G133" s="20"/>
      <c r="H133" s="16">
        <f>IF(AND(E133="",G133=""),"",IF(OR(E133="",G133=""),"falta dato",E133*G133))</f>
      </c>
      <c r="I133" s="18"/>
    </row>
    <row r="134" spans="1:9" x14ac:dyDescent="0.25">
      <c r="A134" s="17"/>
      <c r="B134" s="18"/>
      <c r="C134" s="18"/>
      <c r="D134" s="18"/>
      <c r="E134" s="19"/>
      <c r="F134" s="18"/>
      <c r="G134" s="20"/>
      <c r="H134" s="16">
        <f>IF(AND(E134="",G134=""),"",IF(OR(E134="",G134=""),"falta dato",E134*G134))</f>
      </c>
      <c r="I134" s="18"/>
    </row>
    <row r="135" spans="1:9" x14ac:dyDescent="0.25">
      <c r="A135" s="17"/>
      <c r="B135" s="18"/>
      <c r="C135" s="18"/>
      <c r="D135" s="18"/>
      <c r="E135" s="19"/>
      <c r="F135" s="18"/>
      <c r="G135" s="20"/>
      <c r="H135" s="16">
        <f>IF(AND(E135="",G135=""),"",IF(OR(E135="",G135=""),"falta dato",E135*G135))</f>
      </c>
      <c r="I135" s="18"/>
    </row>
    <row r="136" spans="1:9" x14ac:dyDescent="0.25">
      <c r="A136" s="17"/>
      <c r="B136" s="18"/>
      <c r="C136" s="18"/>
      <c r="D136" s="18"/>
      <c r="E136" s="19"/>
      <c r="F136" s="18"/>
      <c r="G136" s="20"/>
      <c r="H136" s="16">
        <f>IF(AND(E136="",G136=""),"",IF(OR(E136="",G136=""),"falta dato",E136*G136))</f>
      </c>
      <c r="I136" s="18"/>
    </row>
    <row r="137" spans="1:9" x14ac:dyDescent="0.25">
      <c r="A137" s="17"/>
      <c r="B137" s="18"/>
      <c r="C137" s="18"/>
      <c r="D137" s="18"/>
      <c r="E137" s="19"/>
      <c r="F137" s="18"/>
      <c r="G137" s="20"/>
      <c r="H137" s="16">
        <f>IF(AND(E137="",G137=""),"",IF(OR(E137="",G137=""),"falta dato",E137*G137))</f>
      </c>
      <c r="I137" s="18"/>
    </row>
    <row r="138" spans="1:9" x14ac:dyDescent="0.25">
      <c r="A138" s="17"/>
      <c r="B138" s="18"/>
      <c r="C138" s="18"/>
      <c r="D138" s="18"/>
      <c r="E138" s="19"/>
      <c r="F138" s="18"/>
      <c r="G138" s="20"/>
      <c r="H138" s="16">
        <f>IF(AND(E138="",G138=""),"",IF(OR(E138="",G138=""),"falta dato",E138*G138))</f>
      </c>
      <c r="I138" s="18"/>
    </row>
    <row r="139" spans="1:9" x14ac:dyDescent="0.25">
      <c r="A139" s="17"/>
      <c r="B139" s="18"/>
      <c r="C139" s="18"/>
      <c r="D139" s="18"/>
      <c r="E139" s="19"/>
      <c r="F139" s="18"/>
      <c r="G139" s="20"/>
      <c r="H139" s="16">
        <f>IF(AND(E139="",G139=""),"",IF(OR(E139="",G139=""),"falta dato",E139*G139))</f>
      </c>
      <c r="I139" s="18"/>
    </row>
    <row r="140" spans="1:9" x14ac:dyDescent="0.25">
      <c r="A140" s="17"/>
      <c r="B140" s="18"/>
      <c r="C140" s="18"/>
      <c r="D140" s="18"/>
      <c r="E140" s="19"/>
      <c r="F140" s="18"/>
      <c r="G140" s="20"/>
      <c r="H140" s="16">
        <f>IF(AND(E140="",G140=""),"",IF(OR(E140="",G140=""),"falta dato",E140*G140))</f>
      </c>
      <c r="I140" s="18"/>
    </row>
    <row r="141" spans="1:9" x14ac:dyDescent="0.25">
      <c r="A141" s="17"/>
      <c r="B141" s="18"/>
      <c r="C141" s="18"/>
      <c r="D141" s="18"/>
      <c r="E141" s="19"/>
      <c r="F141" s="18"/>
      <c r="G141" s="20"/>
      <c r="H141" s="16">
        <f>IF(AND(E141="",G141=""),"",IF(OR(E141="",G141=""),"falta dato",E141*G141))</f>
      </c>
      <c r="I141" s="18"/>
    </row>
    <row r="142" spans="1:9" x14ac:dyDescent="0.25">
      <c r="A142" s="17"/>
      <c r="B142" s="18"/>
      <c r="C142" s="18"/>
      <c r="D142" s="18"/>
      <c r="E142" s="19"/>
      <c r="F142" s="18"/>
      <c r="G142" s="20"/>
      <c r="H142" s="16">
        <f>IF(AND(E142="",G142=""),"",IF(OR(E142="",G142=""),"falta dato",E142*G142))</f>
      </c>
      <c r="I142" s="18"/>
    </row>
    <row r="143" spans="1:9" x14ac:dyDescent="0.25">
      <c r="A143" s="17"/>
      <c r="B143" s="18"/>
      <c r="C143" s="18"/>
      <c r="D143" s="18"/>
      <c r="E143" s="19"/>
      <c r="F143" s="18"/>
      <c r="G143" s="20"/>
      <c r="H143" s="16">
        <f>IF(AND(E143="",G143=""),"",IF(OR(E143="",G143=""),"falta dato",E143*G143))</f>
      </c>
      <c r="I143" s="18"/>
    </row>
    <row r="144" spans="1:9" x14ac:dyDescent="0.25">
      <c r="A144" s="17"/>
      <c r="B144" s="18"/>
      <c r="C144" s="18"/>
      <c r="D144" s="18"/>
      <c r="E144" s="19"/>
      <c r="F144" s="18"/>
      <c r="G144" s="20"/>
      <c r="H144" s="16">
        <f>IF(AND(E144="",G144=""),"",IF(OR(E144="",G144=""),"falta dato",E144*G144))</f>
      </c>
      <c r="I144" s="18"/>
    </row>
    <row r="145" spans="1:9" x14ac:dyDescent="0.25">
      <c r="A145" s="17"/>
      <c r="B145" s="18"/>
      <c r="C145" s="18"/>
      <c r="D145" s="18"/>
      <c r="E145" s="19"/>
      <c r="F145" s="18"/>
      <c r="G145" s="20"/>
      <c r="H145" s="16">
        <f>IF(AND(E145="",G145=""),"",IF(OR(E145="",G145=""),"falta dato",E145*G145))</f>
      </c>
      <c r="I145" s="18"/>
    </row>
    <row r="146" spans="1:9" x14ac:dyDescent="0.25">
      <c r="A146" s="17"/>
      <c r="B146" s="18"/>
      <c r="C146" s="18"/>
      <c r="D146" s="18"/>
      <c r="E146" s="19"/>
      <c r="F146" s="18"/>
      <c r="G146" s="20"/>
      <c r="H146" s="16">
        <f>IF(AND(E146="",G146=""),"",IF(OR(E146="",G146=""),"falta dato",E146*G146))</f>
      </c>
      <c r="I146" s="18"/>
    </row>
    <row r="147" spans="1:9" x14ac:dyDescent="0.25">
      <c r="A147" s="17"/>
      <c r="B147" s="18"/>
      <c r="C147" s="18"/>
      <c r="D147" s="18"/>
      <c r="E147" s="19"/>
      <c r="F147" s="18"/>
      <c r="G147" s="20"/>
      <c r="H147" s="16">
        <f>IF(AND(E147="",G147=""),"",IF(OR(E147="",G147=""),"falta dato",E147*G147))</f>
      </c>
      <c r="I147" s="18"/>
    </row>
    <row r="148" spans="1:9" x14ac:dyDescent="0.25">
      <c r="A148" s="17"/>
      <c r="B148" s="18"/>
      <c r="C148" s="18"/>
      <c r="D148" s="18"/>
      <c r="E148" s="19"/>
      <c r="F148" s="18"/>
      <c r="G148" s="20"/>
      <c r="H148" s="16">
        <f>IF(AND(E148="",G148=""),"",IF(OR(E148="",G148=""),"falta dato",E148*G148))</f>
      </c>
      <c r="I148" s="18"/>
    </row>
    <row r="149" spans="1:9" x14ac:dyDescent="0.25">
      <c r="A149" s="17"/>
      <c r="B149" s="18"/>
      <c r="C149" s="18"/>
      <c r="D149" s="18"/>
      <c r="E149" s="19"/>
      <c r="F149" s="18"/>
      <c r="G149" s="20"/>
      <c r="H149" s="16">
        <f>IF(AND(E149="",G149=""),"",IF(OR(E149="",G149=""),"falta dato",E149*G149))</f>
      </c>
      <c r="I149" s="18"/>
    </row>
    <row r="150" spans="1:9" x14ac:dyDescent="0.25">
      <c r="A150" s="17"/>
      <c r="B150" s="18"/>
      <c r="C150" s="18"/>
      <c r="D150" s="18"/>
      <c r="E150" s="19"/>
      <c r="F150" s="18"/>
      <c r="G150" s="20"/>
      <c r="H150" s="16">
        <f>IF(AND(E150="",G150=""),"",IF(OR(E150="",G150=""),"falta dato",E150*G150))</f>
      </c>
      <c r="I150" s="18"/>
    </row>
    <row r="151" spans="1:9" x14ac:dyDescent="0.25">
      <c r="A151" s="17"/>
      <c r="B151" s="18"/>
      <c r="C151" s="18"/>
      <c r="D151" s="18"/>
      <c r="E151" s="19"/>
      <c r="F151" s="18"/>
      <c r="G151" s="20"/>
      <c r="H151" s="16">
        <f>IF(AND(E151="",G151=""),"",IF(OR(E151="",G151=""),"falta dato",E151*G151))</f>
      </c>
      <c r="I151" s="18"/>
    </row>
    <row r="152" spans="1:9" x14ac:dyDescent="0.25">
      <c r="A152" s="17"/>
      <c r="B152" s="18"/>
      <c r="C152" s="18"/>
      <c r="D152" s="18"/>
      <c r="E152" s="19"/>
      <c r="F152" s="18"/>
      <c r="G152" s="20"/>
      <c r="H152" s="16">
        <f>IF(AND(E152="",G152=""),"",IF(OR(E152="",G152=""),"falta dato",E152*G152))</f>
      </c>
      <c r="I152" s="18"/>
    </row>
    <row r="153" spans="1:9" x14ac:dyDescent="0.25">
      <c r="A153" s="17"/>
      <c r="B153" s="18"/>
      <c r="C153" s="18"/>
      <c r="D153" s="18"/>
      <c r="E153" s="19"/>
      <c r="F153" s="18"/>
      <c r="G153" s="20"/>
      <c r="H153" s="16">
        <f>IF(AND(E153="",G153=""),"",IF(OR(E153="",G153=""),"falta dato",E153*G153))</f>
      </c>
      <c r="I153" s="18"/>
    </row>
    <row r="154" spans="1:9" x14ac:dyDescent="0.25">
      <c r="A154" s="17"/>
      <c r="B154" s="18"/>
      <c r="C154" s="18"/>
      <c r="D154" s="18"/>
      <c r="E154" s="19"/>
      <c r="F154" s="18"/>
      <c r="G154" s="20"/>
      <c r="H154" s="16">
        <f>IF(AND(E154="",G154=""),"",IF(OR(E154="",G154=""),"falta dato",E154*G154))</f>
      </c>
      <c r="I154" s="18"/>
    </row>
    <row r="155" spans="1:9" x14ac:dyDescent="0.25">
      <c r="A155" s="17"/>
      <c r="B155" s="18"/>
      <c r="C155" s="18"/>
      <c r="D155" s="18"/>
      <c r="E155" s="19"/>
      <c r="F155" s="18"/>
      <c r="G155" s="20"/>
      <c r="H155" s="16">
        <f>IF(AND(E155="",G155=""),"",IF(OR(E155="",G155=""),"falta dato",E155*G155))</f>
      </c>
      <c r="I155" s="18"/>
    </row>
    <row r="156" spans="1:9" x14ac:dyDescent="0.25">
      <c r="A156" s="17"/>
      <c r="B156" s="18"/>
      <c r="C156" s="18"/>
      <c r="D156" s="18"/>
      <c r="E156" s="19"/>
      <c r="F156" s="18"/>
      <c r="G156" s="20"/>
      <c r="H156" s="16">
        <f>IF(AND(E156="",G156=""),"",IF(OR(E156="",G156=""),"falta dato",E156*G156))</f>
      </c>
      <c r="I156" s="18"/>
    </row>
    <row r="157" spans="1:9" x14ac:dyDescent="0.25">
      <c r="A157" s="17"/>
      <c r="B157" s="18"/>
      <c r="C157" s="18"/>
      <c r="D157" s="18"/>
      <c r="E157" s="19"/>
      <c r="F157" s="18"/>
      <c r="G157" s="20"/>
      <c r="H157" s="16">
        <f>IF(AND(E157="",G157=""),"",IF(OR(E157="",G157=""),"falta dato",E157*G157))</f>
      </c>
      <c r="I157" s="18"/>
    </row>
    <row r="158" spans="1:9" x14ac:dyDescent="0.25">
      <c r="A158" s="17"/>
      <c r="B158" s="18"/>
      <c r="C158" s="18"/>
      <c r="D158" s="18"/>
      <c r="E158" s="19"/>
      <c r="F158" s="18"/>
      <c r="G158" s="20"/>
      <c r="H158" s="16">
        <f>IF(AND(E158="",G158=""),"",IF(OR(E158="",G158=""),"falta dato",E158*G158))</f>
      </c>
      <c r="I158" s="18"/>
    </row>
    <row r="159" spans="1:9" x14ac:dyDescent="0.25">
      <c r="A159" s="17"/>
      <c r="B159" s="18"/>
      <c r="C159" s="18"/>
      <c r="D159" s="18"/>
      <c r="E159" s="19"/>
      <c r="F159" s="18"/>
      <c r="G159" s="20"/>
      <c r="H159" s="16">
        <f>IF(AND(E159="",G159=""),"",IF(OR(E159="",G159=""),"falta dato",E159*G159))</f>
      </c>
      <c r="I159" s="18"/>
    </row>
    <row r="160" spans="1:9" x14ac:dyDescent="0.25">
      <c r="A160" s="17"/>
      <c r="B160" s="18"/>
      <c r="C160" s="18"/>
      <c r="D160" s="18"/>
      <c r="E160" s="19"/>
      <c r="F160" s="18"/>
      <c r="G160" s="20"/>
      <c r="H160" s="16">
        <f>IF(AND(E160="",G160=""),"",IF(OR(E160="",G160=""),"falta dato",E160*G160))</f>
      </c>
      <c r="I160" s="18"/>
    </row>
    <row r="161" spans="1:9" x14ac:dyDescent="0.25">
      <c r="A161" s="17"/>
      <c r="B161" s="18"/>
      <c r="C161" s="18"/>
      <c r="D161" s="18"/>
      <c r="E161" s="19"/>
      <c r="F161" s="18"/>
      <c r="G161" s="20"/>
      <c r="H161" s="16">
        <f>IF(AND(E161="",G161=""),"",IF(OR(E161="",G161=""),"falta dato",E161*G161))</f>
      </c>
      <c r="I161" s="18"/>
    </row>
    <row r="162" spans="1:9" x14ac:dyDescent="0.25">
      <c r="A162" s="17"/>
      <c r="B162" s="18"/>
      <c r="C162" s="18"/>
      <c r="D162" s="18"/>
      <c r="E162" s="19"/>
      <c r="F162" s="18"/>
      <c r="G162" s="20"/>
      <c r="H162" s="16">
        <f>IF(AND(E162="",G162=""),"",IF(OR(E162="",G162=""),"falta dato",E162*G162))</f>
      </c>
      <c r="I162" s="18"/>
    </row>
    <row r="163" spans="1:9" x14ac:dyDescent="0.25">
      <c r="A163" s="17"/>
      <c r="B163" s="18"/>
      <c r="C163" s="18"/>
      <c r="D163" s="18"/>
      <c r="E163" s="19"/>
      <c r="F163" s="18"/>
      <c r="G163" s="20"/>
      <c r="H163" s="16">
        <f>IF(AND(E163="",G163=""),"",IF(OR(E163="",G163=""),"falta dato",E163*G163))</f>
      </c>
      <c r="I163" s="18"/>
    </row>
    <row r="164" spans="1:9" x14ac:dyDescent="0.25">
      <c r="A164" s="17"/>
      <c r="B164" s="18"/>
      <c r="C164" s="18"/>
      <c r="D164" s="18"/>
      <c r="E164" s="19"/>
      <c r="F164" s="18"/>
      <c r="G164" s="20"/>
      <c r="H164" s="16">
        <f>IF(AND(E164="",G164=""),"",IF(OR(E164="",G164=""),"falta dato",E164*G164))</f>
      </c>
      <c r="I164" s="18"/>
    </row>
    <row r="165" spans="1:9" x14ac:dyDescent="0.25">
      <c r="A165" s="17"/>
      <c r="B165" s="18"/>
      <c r="C165" s="18"/>
      <c r="D165" s="18"/>
      <c r="E165" s="19"/>
      <c r="F165" s="18"/>
      <c r="G165" s="20"/>
      <c r="H165" s="16">
        <f>IF(AND(E165="",G165=""),"",IF(OR(E165="",G165=""),"falta dato",E165*G165))</f>
      </c>
      <c r="I165" s="18"/>
    </row>
    <row r="166" spans="1:9" x14ac:dyDescent="0.25">
      <c r="A166" s="17"/>
      <c r="B166" s="18"/>
      <c r="C166" s="18"/>
      <c r="D166" s="18"/>
      <c r="E166" s="19"/>
      <c r="F166" s="18"/>
      <c r="G166" s="20"/>
      <c r="H166" s="16">
        <f>IF(AND(E166="",G166=""),"",IF(OR(E166="",G166=""),"falta dato",E166*G166))</f>
      </c>
      <c r="I166" s="18"/>
    </row>
    <row r="167" spans="1:9" x14ac:dyDescent="0.25">
      <c r="A167" s="17"/>
      <c r="B167" s="18"/>
      <c r="C167" s="18"/>
      <c r="D167" s="18"/>
      <c r="E167" s="19"/>
      <c r="F167" s="18"/>
      <c r="G167" s="20"/>
      <c r="H167" s="16">
        <f>IF(AND(E167="",G167=""),"",IF(OR(E167="",G167=""),"falta dato",E167*G167))</f>
      </c>
      <c r="I167" s="18"/>
    </row>
    <row r="168" spans="1:9" x14ac:dyDescent="0.25">
      <c r="A168" s="17"/>
      <c r="B168" s="18"/>
      <c r="C168" s="18"/>
      <c r="D168" s="18"/>
      <c r="E168" s="19"/>
      <c r="F168" s="18"/>
      <c r="G168" s="20"/>
      <c r="H168" s="16">
        <f>IF(AND(E168="",G168=""),"",IF(OR(E168="",G168=""),"falta dato",E168*G168))</f>
      </c>
      <c r="I168" s="18"/>
    </row>
    <row r="169" spans="1:9" x14ac:dyDescent="0.25">
      <c r="A169" s="17"/>
      <c r="B169" s="18"/>
      <c r="C169" s="18"/>
      <c r="D169" s="18"/>
      <c r="E169" s="19"/>
      <c r="F169" s="18"/>
      <c r="G169" s="20"/>
      <c r="H169" s="16">
        <f>IF(AND(E169="",G169=""),"",IF(OR(E169="",G169=""),"falta dato",E169*G169))</f>
      </c>
      <c r="I169" s="18"/>
    </row>
    <row r="170" spans="1:9" x14ac:dyDescent="0.25">
      <c r="A170" s="17"/>
      <c r="B170" s="18"/>
      <c r="C170" s="18"/>
      <c r="D170" s="18"/>
      <c r="E170" s="19"/>
      <c r="F170" s="18"/>
      <c r="G170" s="20"/>
      <c r="H170" s="16">
        <f>IF(AND(E170="",G170=""),"",IF(OR(E170="",G170=""),"falta dato",E170*G170))</f>
      </c>
      <c r="I170" s="18"/>
    </row>
    <row r="171" spans="1:9" x14ac:dyDescent="0.25">
      <c r="A171" s="17"/>
      <c r="B171" s="18"/>
      <c r="C171" s="18"/>
      <c r="D171" s="18"/>
      <c r="E171" s="19"/>
      <c r="F171" s="18"/>
      <c r="G171" s="20"/>
      <c r="H171" s="16">
        <f>IF(AND(E171="",G171=""),"",IF(OR(E171="",G171=""),"falta dato",E171*G171))</f>
      </c>
      <c r="I171" s="18"/>
    </row>
    <row r="172" spans="1:9" x14ac:dyDescent="0.25">
      <c r="A172" s="17"/>
      <c r="B172" s="18"/>
      <c r="C172" s="18"/>
      <c r="D172" s="18"/>
      <c r="E172" s="19"/>
      <c r="F172" s="18"/>
      <c r="G172" s="20"/>
      <c r="H172" s="16">
        <f>IF(AND(E172="",G172=""),"",IF(OR(E172="",G172=""),"falta dato",E172*G172))</f>
      </c>
      <c r="I172" s="18"/>
    </row>
    <row r="173" spans="1:9" x14ac:dyDescent="0.25">
      <c r="A173" s="17"/>
      <c r="B173" s="18"/>
      <c r="C173" s="18"/>
      <c r="D173" s="18"/>
      <c r="E173" s="19"/>
      <c r="F173" s="18"/>
      <c r="G173" s="20"/>
      <c r="H173" s="16">
        <f>IF(AND(E173="",G173=""),"",IF(OR(E173="",G173=""),"falta dato",E173*G173))</f>
      </c>
      <c r="I173" s="18"/>
    </row>
    <row r="174" spans="1:9" x14ac:dyDescent="0.25">
      <c r="A174" s="17"/>
      <c r="B174" s="18"/>
      <c r="C174" s="18"/>
      <c r="D174" s="18"/>
      <c r="E174" s="19"/>
      <c r="F174" s="18"/>
      <c r="G174" s="20"/>
      <c r="H174" s="16">
        <f>IF(AND(E174="",G174=""),"",IF(OR(E174="",G174=""),"falta dato",E174*G174))</f>
      </c>
      <c r="I174" s="18"/>
    </row>
    <row r="175" spans="1:9" x14ac:dyDescent="0.25">
      <c r="A175" s="17"/>
      <c r="B175" s="18"/>
      <c r="C175" s="18"/>
      <c r="D175" s="18"/>
      <c r="E175" s="19"/>
      <c r="F175" s="18"/>
      <c r="G175" s="20"/>
      <c r="H175" s="16">
        <f>IF(AND(E175="",G175=""),"",IF(OR(E175="",G175=""),"falta dato",E175*G175))</f>
      </c>
      <c r="I175" s="18"/>
    </row>
    <row r="176" spans="1:9" x14ac:dyDescent="0.25">
      <c r="A176" s="17"/>
      <c r="B176" s="18"/>
      <c r="C176" s="18"/>
      <c r="D176" s="18"/>
      <c r="E176" s="19"/>
      <c r="F176" s="18"/>
      <c r="G176" s="20"/>
      <c r="H176" s="16">
        <f>IF(AND(E176="",G176=""),"",IF(OR(E176="",G176=""),"falta dato",E176*G176))</f>
      </c>
      <c r="I176" s="18"/>
    </row>
    <row r="177" spans="1:9" x14ac:dyDescent="0.25">
      <c r="A177" s="17"/>
      <c r="B177" s="18"/>
      <c r="C177" s="18"/>
      <c r="D177" s="18"/>
      <c r="E177" s="19"/>
      <c r="F177" s="18"/>
      <c r="G177" s="20"/>
      <c r="H177" s="16">
        <f>IF(AND(E177="",G177=""),"",IF(OR(E177="",G177=""),"falta dato",E177*G177))</f>
      </c>
      <c r="I177" s="18"/>
    </row>
    <row r="178" spans="1:9" x14ac:dyDescent="0.25">
      <c r="A178" s="17"/>
      <c r="B178" s="18"/>
      <c r="C178" s="18"/>
      <c r="D178" s="18"/>
      <c r="E178" s="19"/>
      <c r="F178" s="18"/>
      <c r="G178" s="20"/>
      <c r="H178" s="16">
        <f>IF(AND(E178="",G178=""),"",IF(OR(E178="",G178=""),"falta dato",E178*G178))</f>
      </c>
      <c r="I178" s="18"/>
    </row>
    <row r="179" spans="1:9" x14ac:dyDescent="0.25">
      <c r="A179" s="17"/>
      <c r="B179" s="18"/>
      <c r="C179" s="18"/>
      <c r="D179" s="18"/>
      <c r="E179" s="19"/>
      <c r="F179" s="18"/>
      <c r="G179" s="20"/>
      <c r="H179" s="16">
        <f>IF(AND(E179="",G179=""),"",IF(OR(E179="",G179=""),"falta dato",E179*G179))</f>
      </c>
      <c r="I179" s="18"/>
    </row>
    <row r="180" spans="1:9" x14ac:dyDescent="0.25">
      <c r="A180" s="17"/>
      <c r="B180" s="18"/>
      <c r="C180" s="18"/>
      <c r="D180" s="18"/>
      <c r="E180" s="19"/>
      <c r="F180" s="18"/>
      <c r="G180" s="20"/>
      <c r="H180" s="16">
        <f>IF(AND(E180="",G180=""),"",IF(OR(E180="",G180=""),"falta dato",E180*G180))</f>
      </c>
      <c r="I180" s="18"/>
    </row>
    <row r="181" spans="1:9" x14ac:dyDescent="0.25">
      <c r="A181" s="17"/>
      <c r="B181" s="18"/>
      <c r="C181" s="18"/>
      <c r="D181" s="18"/>
      <c r="E181" s="19"/>
      <c r="F181" s="18"/>
      <c r="G181" s="20"/>
      <c r="H181" s="16">
        <f>IF(AND(E181="",G181=""),"",IF(OR(E181="",G181=""),"falta dato",E181*G181))</f>
      </c>
      <c r="I181" s="18"/>
    </row>
    <row r="182" spans="1:9" x14ac:dyDescent="0.25">
      <c r="A182" s="17"/>
      <c r="B182" s="18"/>
      <c r="C182" s="18"/>
      <c r="D182" s="18"/>
      <c r="E182" s="19"/>
      <c r="F182" s="18"/>
      <c r="G182" s="20"/>
      <c r="H182" s="16">
        <f>IF(AND(E182="",G182=""),"",IF(OR(E182="",G182=""),"falta dato",E182*G182))</f>
      </c>
      <c r="I182" s="18"/>
    </row>
    <row r="183" spans="1:9" x14ac:dyDescent="0.25">
      <c r="A183" s="17"/>
      <c r="B183" s="18"/>
      <c r="C183" s="18"/>
      <c r="D183" s="18"/>
      <c r="E183" s="19"/>
      <c r="F183" s="18"/>
      <c r="G183" s="20"/>
      <c r="H183" s="16">
        <f>IF(AND(E183="",G183=""),"",IF(OR(E183="",G183=""),"falta dato",E183*G183))</f>
      </c>
      <c r="I183" s="18"/>
    </row>
    <row r="184" spans="1:9" x14ac:dyDescent="0.25">
      <c r="A184" s="17"/>
      <c r="B184" s="18"/>
      <c r="C184" s="18"/>
      <c r="D184" s="18"/>
      <c r="E184" s="19"/>
      <c r="F184" s="18"/>
      <c r="G184" s="20"/>
      <c r="H184" s="16">
        <f>IF(AND(E184="",G184=""),"",IF(OR(E184="",G184=""),"falta dato",E184*G184))</f>
      </c>
      <c r="I184" s="18"/>
    </row>
    <row r="185" spans="1:9" x14ac:dyDescent="0.25">
      <c r="A185" s="17"/>
      <c r="B185" s="18"/>
      <c r="C185" s="18"/>
      <c r="D185" s="18"/>
      <c r="E185" s="19"/>
      <c r="F185" s="18"/>
      <c r="G185" s="20"/>
      <c r="H185" s="16">
        <f>IF(AND(E185="",G185=""),"",IF(OR(E185="",G185=""),"falta dato",E185*G185))</f>
      </c>
      <c r="I185" s="18"/>
    </row>
    <row r="186" spans="1:9" x14ac:dyDescent="0.25">
      <c r="A186" s="17"/>
      <c r="B186" s="18"/>
      <c r="C186" s="18"/>
      <c r="D186" s="18"/>
      <c r="E186" s="19"/>
      <c r="F186" s="18"/>
      <c r="G186" s="20"/>
      <c r="H186" s="16">
        <f>IF(AND(E186="",G186=""),"",IF(OR(E186="",G186=""),"falta dato",E186*G186))</f>
      </c>
      <c r="I186" s="18"/>
    </row>
    <row r="187" spans="1:9" x14ac:dyDescent="0.25">
      <c r="A187" s="17"/>
      <c r="B187" s="18"/>
      <c r="C187" s="18"/>
      <c r="D187" s="18"/>
      <c r="E187" s="19"/>
      <c r="F187" s="18"/>
      <c r="G187" s="20"/>
      <c r="H187" s="16">
        <f>IF(AND(E187="",G187=""),"",IF(OR(E187="",G187=""),"falta dato",E187*G187))</f>
      </c>
      <c r="I187" s="18"/>
    </row>
    <row r="188" spans="1:9" x14ac:dyDescent="0.25">
      <c r="A188" s="17"/>
      <c r="B188" s="18"/>
      <c r="C188" s="18"/>
      <c r="D188" s="18"/>
      <c r="E188" s="19"/>
      <c r="F188" s="18"/>
      <c r="G188" s="20"/>
      <c r="H188" s="16">
        <f>IF(AND(E188="",G188=""),"",IF(OR(E188="",G188=""),"falta dato",E188*G188))</f>
      </c>
      <c r="I188" s="18"/>
    </row>
    <row r="189" spans="1:9" x14ac:dyDescent="0.25">
      <c r="A189" s="17"/>
      <c r="B189" s="18"/>
      <c r="C189" s="18"/>
      <c r="D189" s="18"/>
      <c r="E189" s="19"/>
      <c r="F189" s="18"/>
      <c r="G189" s="20"/>
      <c r="H189" s="16">
        <f>IF(AND(E189="",G189=""),"",IF(OR(E189="",G189=""),"falta dato",E189*G189))</f>
      </c>
      <c r="I189" s="18"/>
    </row>
    <row r="190" spans="1:9" x14ac:dyDescent="0.25">
      <c r="A190" s="17"/>
      <c r="B190" s="18"/>
      <c r="C190" s="18"/>
      <c r="D190" s="18"/>
      <c r="E190" s="19"/>
      <c r="F190" s="18"/>
      <c r="G190" s="20"/>
      <c r="H190" s="16">
        <f>IF(AND(E190="",G190=""),"",IF(OR(E190="",G190=""),"falta dato",E190*G190))</f>
      </c>
      <c r="I190" s="18"/>
    </row>
    <row r="191" spans="1:9" x14ac:dyDescent="0.25">
      <c r="A191" s="17"/>
      <c r="B191" s="18"/>
      <c r="C191" s="18"/>
      <c r="D191" s="18"/>
      <c r="E191" s="19"/>
      <c r="F191" s="18"/>
      <c r="G191" s="20"/>
      <c r="H191" s="16">
        <f>IF(AND(E191="",G191=""),"",IF(OR(E191="",G191=""),"falta dato",E191*G191))</f>
      </c>
      <c r="I191" s="18"/>
    </row>
    <row r="192" spans="1:9" x14ac:dyDescent="0.25">
      <c r="A192" s="17"/>
      <c r="B192" s="18"/>
      <c r="C192" s="18"/>
      <c r="D192" s="18"/>
      <c r="E192" s="19"/>
      <c r="F192" s="18"/>
      <c r="G192" s="20"/>
      <c r="H192" s="16">
        <f>IF(AND(E192="",G192=""),"",IF(OR(E192="",G192=""),"falta dato",E192*G192))</f>
      </c>
      <c r="I192" s="18"/>
    </row>
    <row r="193" spans="1:9" x14ac:dyDescent="0.25">
      <c r="A193" s="17"/>
      <c r="B193" s="18"/>
      <c r="C193" s="18"/>
      <c r="D193" s="18"/>
      <c r="E193" s="19"/>
      <c r="F193" s="18"/>
      <c r="G193" s="20"/>
      <c r="H193" s="16">
        <f>IF(AND(E193="",G193=""),"",IF(OR(E193="",G193=""),"falta dato",E193*G193))</f>
      </c>
      <c r="I193" s="18"/>
    </row>
    <row r="194" spans="1:9" x14ac:dyDescent="0.25">
      <c r="A194" s="17"/>
      <c r="B194" s="18"/>
      <c r="C194" s="18"/>
      <c r="D194" s="18"/>
      <c r="E194" s="19"/>
      <c r="F194" s="18"/>
      <c r="G194" s="20"/>
      <c r="H194" s="16">
        <f>IF(AND(E194="",G194=""),"",IF(OR(E194="",G194=""),"falta dato",E194*G194))</f>
      </c>
      <c r="I194" s="18"/>
    </row>
    <row r="195" spans="1:9" x14ac:dyDescent="0.25">
      <c r="A195" s="17"/>
      <c r="B195" s="18"/>
      <c r="C195" s="18"/>
      <c r="D195" s="18"/>
      <c r="E195" s="19"/>
      <c r="F195" s="18"/>
      <c r="G195" s="20"/>
      <c r="H195" s="16">
        <f>IF(AND(E195="",G195=""),"",IF(OR(E195="",G195=""),"falta dato",E195*G195))</f>
      </c>
      <c r="I195" s="18"/>
    </row>
    <row r="196" spans="1:9" x14ac:dyDescent="0.25">
      <c r="A196" s="17"/>
      <c r="B196" s="18"/>
      <c r="C196" s="18"/>
      <c r="D196" s="18"/>
      <c r="E196" s="19"/>
      <c r="F196" s="18"/>
      <c r="G196" s="20"/>
      <c r="H196" s="16">
        <f>IF(AND(E196="",G196=""),"",IF(OR(E196="",G196=""),"falta dato",E196*G196))</f>
      </c>
      <c r="I196" s="18"/>
    </row>
    <row r="197" spans="1:9" x14ac:dyDescent="0.25">
      <c r="A197" s="17"/>
      <c r="B197" s="18"/>
      <c r="C197" s="18"/>
      <c r="D197" s="18"/>
      <c r="E197" s="19"/>
      <c r="F197" s="18"/>
      <c r="G197" s="20"/>
      <c r="H197" s="16">
        <f>IF(AND(E197="",G197=""),"",IF(OR(E197="",G197=""),"falta dato",E197*G197))</f>
      </c>
      <c r="I197" s="18"/>
    </row>
    <row r="198" spans="1:9" x14ac:dyDescent="0.25">
      <c r="A198" s="17"/>
      <c r="B198" s="18"/>
      <c r="C198" s="18"/>
      <c r="D198" s="18"/>
      <c r="E198" s="19"/>
      <c r="F198" s="18"/>
      <c r="G198" s="20"/>
      <c r="H198" s="16">
        <f>IF(AND(E198="",G198=""),"",IF(OR(E198="",G198=""),"falta dato",E198*G198))</f>
      </c>
      <c r="I198" s="18"/>
    </row>
    <row r="199" spans="1:9" x14ac:dyDescent="0.25">
      <c r="A199" s="17"/>
      <c r="B199" s="18"/>
      <c r="C199" s="18"/>
      <c r="D199" s="18"/>
      <c r="E199" s="19"/>
      <c r="F199" s="18"/>
      <c r="G199" s="20"/>
      <c r="H199" s="16">
        <f>IF(AND(E199="",G199=""),"",IF(OR(E199="",G199=""),"falta dato",E199*G199))</f>
      </c>
      <c r="I199" s="18"/>
    </row>
    <row r="200" spans="1:9" x14ac:dyDescent="0.25">
      <c r="A200" s="17"/>
      <c r="B200" s="18"/>
      <c r="C200" s="18"/>
      <c r="D200" s="18"/>
      <c r="E200" s="19"/>
      <c r="F200" s="18"/>
      <c r="G200" s="20"/>
      <c r="H200" s="16">
        <f>IF(AND(E200="",G200=""),"",IF(OR(E200="",G200=""),"falta dato",E200*G200))</f>
      </c>
      <c r="I200" s="18"/>
    </row>
    <row r="201" spans="1:9" x14ac:dyDescent="0.25">
      <c r="A201" s="17"/>
      <c r="B201" s="18"/>
      <c r="C201" s="18"/>
      <c r="D201" s="18"/>
      <c r="E201" s="19"/>
      <c r="F201" s="18"/>
      <c r="G201" s="20"/>
      <c r="H201" s="16">
        <f>IF(AND(E201="",G201=""),"",IF(OR(E201="",G201=""),"falta dato",E201*G201))</f>
      </c>
      <c r="I201" s="18"/>
    </row>
    <row r="202" spans="1:9" x14ac:dyDescent="0.25">
      <c r="A202" s="17"/>
      <c r="B202" s="18"/>
      <c r="C202" s="18"/>
      <c r="D202" s="18"/>
      <c r="E202" s="19"/>
      <c r="F202" s="18"/>
      <c r="G202" s="20"/>
      <c r="H202" s="16">
        <f>IF(AND(E202="",G202=""),"",IF(OR(E202="",G202=""),"falta dato",E202*G202))</f>
      </c>
      <c r="I202" s="18"/>
    </row>
    <row r="203" spans="1:9" x14ac:dyDescent="0.25">
      <c r="A203" s="17"/>
      <c r="B203" s="18"/>
      <c r="C203" s="18"/>
      <c r="D203" s="18"/>
      <c r="E203" s="19"/>
      <c r="F203" s="18"/>
      <c r="G203" s="20"/>
      <c r="H203" s="16">
        <f>IF(AND(E203="",G203=""),"",IF(OR(E203="",G203=""),"falta dato",E203*G203))</f>
      </c>
      <c r="I203" s="18"/>
    </row>
    <row r="204" spans="1:9" x14ac:dyDescent="0.25">
      <c r="A204" s="17"/>
      <c r="B204" s="18"/>
      <c r="C204" s="18"/>
      <c r="D204" s="18"/>
      <c r="E204" s="19"/>
      <c r="F204" s="18"/>
      <c r="G204" s="20"/>
      <c r="H204" s="16">
        <f>IF(AND(E204="",G204=""),"",IF(OR(E204="",G204=""),"falta dato",E204*G204))</f>
      </c>
      <c r="I204" s="18"/>
    </row>
    <row r="205" spans="1:9" x14ac:dyDescent="0.25">
      <c r="A205" s="17"/>
      <c r="B205" s="18"/>
      <c r="C205" s="18"/>
      <c r="D205" s="18"/>
      <c r="E205" s="19"/>
      <c r="F205" s="18"/>
      <c r="G205" s="20"/>
      <c r="H205" s="16">
        <f>IF(AND(E205="",G205=""),"",IF(OR(E205="",G205=""),"falta dato",E205*G205))</f>
      </c>
      <c r="I205" s="18"/>
    </row>
    <row r="206" spans="1:9" x14ac:dyDescent="0.25">
      <c r="A206" s="17"/>
      <c r="B206" s="18"/>
      <c r="C206" s="18"/>
      <c r="D206" s="18"/>
      <c r="E206" s="19"/>
      <c r="F206" s="18"/>
      <c r="G206" s="20"/>
      <c r="H206" s="16">
        <f>IF(AND(E206="",G206=""),"",IF(OR(E206="",G206=""),"falta dato",E206*G206))</f>
      </c>
      <c r="I206" s="18"/>
    </row>
    <row r="207" spans="1:9" x14ac:dyDescent="0.25">
      <c r="A207" s="17"/>
      <c r="B207" s="18"/>
      <c r="C207" s="18"/>
      <c r="D207" s="18"/>
      <c r="E207" s="19"/>
      <c r="F207" s="18"/>
      <c r="G207" s="20"/>
      <c r="H207" s="16">
        <f>IF(AND(E207="",G207=""),"",IF(OR(E207="",G207=""),"falta dato",E207*G207))</f>
      </c>
      <c r="I207" s="18"/>
    </row>
    <row r="208" spans="1:9" x14ac:dyDescent="0.25">
      <c r="A208" s="17"/>
      <c r="B208" s="18"/>
      <c r="C208" s="18"/>
      <c r="D208" s="18"/>
      <c r="E208" s="19"/>
      <c r="F208" s="18"/>
      <c r="G208" s="20"/>
      <c r="H208" s="16">
        <f>IF(AND(E208="",G208=""),"",IF(OR(E208="",G208=""),"falta dato",E208*G208))</f>
      </c>
      <c r="I208" s="18"/>
    </row>
    <row r="209" spans="1:9" x14ac:dyDescent="0.25">
      <c r="A209" s="17"/>
      <c r="B209" s="18"/>
      <c r="C209" s="18"/>
      <c r="D209" s="18"/>
      <c r="E209" s="19"/>
      <c r="F209" s="18"/>
      <c r="G209" s="20"/>
      <c r="H209" s="16">
        <f>IF(AND(E209="",G209=""),"",IF(OR(E209="",G209=""),"falta dato",E209*G209))</f>
      </c>
      <c r="I209" s="18"/>
    </row>
    <row r="210" spans="1:9" x14ac:dyDescent="0.25">
      <c r="A210" s="17"/>
      <c r="B210" s="18"/>
      <c r="C210" s="18"/>
      <c r="D210" s="18"/>
      <c r="E210" s="19"/>
      <c r="F210" s="18"/>
      <c r="G210" s="20"/>
      <c r="H210" s="16">
        <f>IF(AND(E210="",G210=""),"",IF(OR(E210="",G210=""),"falta dato",E210*G210))</f>
      </c>
      <c r="I210" s="18"/>
    </row>
    <row r="211" spans="1:9" x14ac:dyDescent="0.25">
      <c r="A211" s="17"/>
      <c r="B211" s="18"/>
      <c r="C211" s="18"/>
      <c r="D211" s="18"/>
      <c r="E211" s="19"/>
      <c r="F211" s="18"/>
      <c r="G211" s="20"/>
      <c r="H211" s="16">
        <f>IF(AND(E211="",G211=""),"",IF(OR(E211="",G211=""),"falta dato",E211*G211))</f>
      </c>
      <c r="I211" s="18"/>
    </row>
    <row r="212" spans="1:9" x14ac:dyDescent="0.25">
      <c r="A212" s="17"/>
      <c r="B212" s="18"/>
      <c r="C212" s="18"/>
      <c r="D212" s="18"/>
      <c r="E212" s="19"/>
      <c r="F212" s="18"/>
      <c r="G212" s="20"/>
      <c r="H212" s="16">
        <f>IF(AND(E212="",G212=""),"",IF(OR(E212="",G212=""),"falta dato",E212*G212))</f>
      </c>
      <c r="I212" s="18"/>
    </row>
    <row r="213" spans="1:9" x14ac:dyDescent="0.25">
      <c r="A213" s="17"/>
      <c r="B213" s="18"/>
      <c r="C213" s="18"/>
      <c r="D213" s="18"/>
      <c r="E213" s="19"/>
      <c r="F213" s="18"/>
      <c r="G213" s="20"/>
      <c r="H213" s="16">
        <f>IF(AND(E213="",G213=""),"",IF(OR(E213="",G213=""),"falta dato",E213*G213))</f>
      </c>
      <c r="I213" s="18"/>
    </row>
    <row r="214" spans="1:9" x14ac:dyDescent="0.25">
      <c r="A214" s="17"/>
      <c r="B214" s="18"/>
      <c r="C214" s="18"/>
      <c r="D214" s="18"/>
      <c r="E214" s="19"/>
      <c r="F214" s="18"/>
      <c r="G214" s="20"/>
      <c r="H214" s="16">
        <f>IF(AND(E214="",G214=""),"",IF(OR(E214="",G214=""),"falta dato",E214*G214))</f>
      </c>
      <c r="I214" s="18"/>
    </row>
    <row r="215" spans="1:9" x14ac:dyDescent="0.25">
      <c r="A215" s="17"/>
      <c r="B215" s="18"/>
      <c r="C215" s="18"/>
      <c r="D215" s="18"/>
      <c r="E215" s="19"/>
      <c r="F215" s="18"/>
      <c r="G215" s="20"/>
      <c r="H215" s="16">
        <f>IF(AND(E215="",G215=""),"",IF(OR(E215="",G215=""),"falta dato",E215*G215))</f>
      </c>
      <c r="I215" s="18"/>
    </row>
    <row r="216" spans="1:9" x14ac:dyDescent="0.25">
      <c r="A216" s="17"/>
      <c r="B216" s="18"/>
      <c r="C216" s="18"/>
      <c r="D216" s="18"/>
      <c r="E216" s="19"/>
      <c r="F216" s="18"/>
      <c r="G216" s="20"/>
      <c r="H216" s="16">
        <f>IF(AND(E216="",G216=""),"",IF(OR(E216="",G216=""),"falta dato",E216*G216))</f>
      </c>
      <c r="I216" s="18"/>
    </row>
    <row r="217" spans="1:9" x14ac:dyDescent="0.25">
      <c r="A217" s="17"/>
      <c r="B217" s="18"/>
      <c r="C217" s="18"/>
      <c r="D217" s="18"/>
      <c r="E217" s="19"/>
      <c r="F217" s="18"/>
      <c r="G217" s="20"/>
      <c r="H217" s="16">
        <f>IF(AND(E217="",G217=""),"",IF(OR(E217="",G217=""),"falta dato",E217*G217))</f>
      </c>
      <c r="I217" s="18"/>
    </row>
    <row r="218" spans="1:9" x14ac:dyDescent="0.25">
      <c r="A218" s="17"/>
      <c r="B218" s="18"/>
      <c r="C218" s="18"/>
      <c r="D218" s="18"/>
      <c r="E218" s="19"/>
      <c r="F218" s="18"/>
      <c r="G218" s="20"/>
      <c r="H218" s="16">
        <f>IF(AND(E218="",G218=""),"",IF(OR(E218="",G218=""),"falta dato",E218*G218))</f>
      </c>
      <c r="I218" s="18"/>
    </row>
    <row r="219" spans="1:9" x14ac:dyDescent="0.25">
      <c r="A219" s="17"/>
      <c r="B219" s="18"/>
      <c r="C219" s="18"/>
      <c r="D219" s="18"/>
      <c r="E219" s="19"/>
      <c r="F219" s="18"/>
      <c r="G219" s="20"/>
      <c r="H219" s="16">
        <f>IF(AND(E219="",G219=""),"",IF(OR(E219="",G219=""),"falta dato",E219*G219))</f>
      </c>
      <c r="I219" s="18"/>
    </row>
    <row r="220" spans="1:9" x14ac:dyDescent="0.25">
      <c r="A220" s="17"/>
      <c r="B220" s="18"/>
      <c r="C220" s="18"/>
      <c r="D220" s="18"/>
      <c r="E220" s="19"/>
      <c r="F220" s="18"/>
      <c r="G220" s="20"/>
      <c r="H220" s="16">
        <f>IF(AND(E220="",G220=""),"",IF(OR(E220="",G220=""),"falta dato",E220*G220))</f>
      </c>
      <c r="I220" s="18"/>
    </row>
    <row r="221" spans="1:9" x14ac:dyDescent="0.25">
      <c r="A221" s="17"/>
      <c r="B221" s="18"/>
      <c r="C221" s="18"/>
      <c r="D221" s="18"/>
      <c r="E221" s="19"/>
      <c r="F221" s="18"/>
      <c r="G221" s="20"/>
      <c r="H221" s="16">
        <f>IF(AND(E221="",G221=""),"",IF(OR(E221="",G221=""),"falta dato",E221*G221))</f>
      </c>
      <c r="I221" s="18"/>
    </row>
    <row r="222" spans="1:9" x14ac:dyDescent="0.25">
      <c r="A222" s="17"/>
      <c r="B222" s="18"/>
      <c r="C222" s="18"/>
      <c r="D222" s="18"/>
      <c r="E222" s="19"/>
      <c r="F222" s="18"/>
      <c r="G222" s="20"/>
      <c r="H222" s="16">
        <f>IF(AND(E222="",G222=""),"",IF(OR(E222="",G222=""),"falta dato",E222*G222))</f>
      </c>
      <c r="I222" s="18"/>
    </row>
    <row r="223" spans="1:9" x14ac:dyDescent="0.25">
      <c r="A223" s="17"/>
      <c r="B223" s="18"/>
      <c r="C223" s="18"/>
      <c r="D223" s="18"/>
      <c r="E223" s="19"/>
      <c r="F223" s="18"/>
      <c r="G223" s="20"/>
      <c r="H223" s="16">
        <f>IF(AND(E223="",G223=""),"",IF(OR(E223="",G223=""),"falta dato",E223*G223))</f>
      </c>
      <c r="I223" s="18"/>
    </row>
    <row r="224" spans="1:9" x14ac:dyDescent="0.25">
      <c r="A224" s="17"/>
      <c r="B224" s="18"/>
      <c r="C224" s="18"/>
      <c r="D224" s="18"/>
      <c r="E224" s="19"/>
      <c r="F224" s="18"/>
      <c r="G224" s="20"/>
      <c r="H224" s="16">
        <f>IF(AND(E224="",G224=""),"",IF(OR(E224="",G224=""),"falta dato",E224*G224))</f>
      </c>
      <c r="I224" s="18"/>
    </row>
    <row r="225" spans="1:9" x14ac:dyDescent="0.25">
      <c r="A225" s="17"/>
      <c r="B225" s="18"/>
      <c r="C225" s="18"/>
      <c r="D225" s="18"/>
      <c r="E225" s="19"/>
      <c r="F225" s="18"/>
      <c r="G225" s="20"/>
      <c r="H225" s="16">
        <f>IF(AND(E225="",G225=""),"",IF(OR(E225="",G225=""),"falta dato",E225*G225))</f>
      </c>
      <c r="I225" s="18"/>
    </row>
    <row r="226" spans="1:9" x14ac:dyDescent="0.25">
      <c r="A226" s="17"/>
      <c r="B226" s="18"/>
      <c r="C226" s="18"/>
      <c r="D226" s="18"/>
      <c r="E226" s="19"/>
      <c r="F226" s="18"/>
      <c r="G226" s="20"/>
      <c r="H226" s="16">
        <f>IF(AND(E226="",G226=""),"",IF(OR(E226="",G226=""),"falta dato",E226*G226))</f>
      </c>
      <c r="I226" s="18"/>
    </row>
    <row r="227" spans="1:9" x14ac:dyDescent="0.25">
      <c r="A227" s="17"/>
      <c r="B227" s="18"/>
      <c r="C227" s="18"/>
      <c r="D227" s="18"/>
      <c r="E227" s="19"/>
      <c r="F227" s="18"/>
      <c r="G227" s="20"/>
      <c r="H227" s="16">
        <f>IF(AND(E227="",G227=""),"",IF(OR(E227="",G227=""),"falta dato",E227*G227))</f>
      </c>
      <c r="I227" s="18"/>
    </row>
    <row r="228" spans="1:9" x14ac:dyDescent="0.25">
      <c r="A228" s="17"/>
      <c r="B228" s="18"/>
      <c r="C228" s="18"/>
      <c r="D228" s="18"/>
      <c r="E228" s="19"/>
      <c r="F228" s="18"/>
      <c r="G228" s="20"/>
      <c r="H228" s="16">
        <f>IF(AND(E228="",G228=""),"",IF(OR(E228="",G228=""),"falta dato",E228*G228))</f>
      </c>
      <c r="I228" s="18"/>
    </row>
    <row r="229" spans="1:9" x14ac:dyDescent="0.25">
      <c r="A229" s="17"/>
      <c r="B229" s="18"/>
      <c r="C229" s="18"/>
      <c r="D229" s="18"/>
      <c r="E229" s="19"/>
      <c r="F229" s="18"/>
      <c r="G229" s="20"/>
      <c r="H229" s="16">
        <f>IF(AND(E229="",G229=""),"",IF(OR(E229="",G229=""),"falta dato",E229*G229))</f>
      </c>
      <c r="I229" s="18"/>
    </row>
    <row r="230" spans="1:9" x14ac:dyDescent="0.25">
      <c r="A230" s="17"/>
      <c r="B230" s="18"/>
      <c r="C230" s="18"/>
      <c r="D230" s="18"/>
      <c r="E230" s="19"/>
      <c r="F230" s="18"/>
      <c r="G230" s="20"/>
      <c r="H230" s="16">
        <f>IF(AND(E230="",G230=""),"",IF(OR(E230="",G230=""),"falta dato",E230*G230))</f>
      </c>
      <c r="I230" s="18"/>
    </row>
    <row r="231" spans="1:9" x14ac:dyDescent="0.25">
      <c r="A231" s="17"/>
      <c r="B231" s="18"/>
      <c r="C231" s="18"/>
      <c r="D231" s="18"/>
      <c r="E231" s="19"/>
      <c r="F231" s="18"/>
      <c r="G231" s="20"/>
      <c r="H231" s="16">
        <f>IF(AND(E231="",G231=""),"",IF(OR(E231="",G231=""),"falta dato",E231*G231))</f>
      </c>
      <c r="I231" s="18"/>
    </row>
    <row r="232" spans="1:9" x14ac:dyDescent="0.25">
      <c r="A232" s="17"/>
      <c r="B232" s="18"/>
      <c r="C232" s="18"/>
      <c r="D232" s="18"/>
      <c r="E232" s="19"/>
      <c r="F232" s="18"/>
      <c r="G232" s="20"/>
      <c r="H232" s="16">
        <f>IF(AND(E232="",G232=""),"",IF(OR(E232="",G232=""),"falta dato",E232*G232))</f>
      </c>
      <c r="I232" s="18"/>
    </row>
    <row r="233" spans="1:9" x14ac:dyDescent="0.25">
      <c r="A233" s="17"/>
      <c r="B233" s="18"/>
      <c r="C233" s="18"/>
      <c r="D233" s="18"/>
      <c r="E233" s="19"/>
      <c r="F233" s="18"/>
      <c r="G233" s="20"/>
      <c r="H233" s="16">
        <f>IF(AND(E233="",G233=""),"",IF(OR(E233="",G233=""),"falta dato",E233*G233))</f>
      </c>
      <c r="I233" s="18"/>
    </row>
    <row r="234" spans="1:9" x14ac:dyDescent="0.25">
      <c r="A234" s="17"/>
      <c r="B234" s="18"/>
      <c r="C234" s="18"/>
      <c r="D234" s="18"/>
      <c r="E234" s="19"/>
      <c r="F234" s="18"/>
      <c r="G234" s="20"/>
      <c r="H234" s="16">
        <f>IF(AND(E234="",G234=""),"",IF(OR(E234="",G234=""),"falta dato",E234*G234))</f>
      </c>
      <c r="I234" s="18"/>
    </row>
    <row r="235" spans="1:9" x14ac:dyDescent="0.25">
      <c r="A235" s="17"/>
      <c r="B235" s="18"/>
      <c r="C235" s="18"/>
      <c r="D235" s="18"/>
      <c r="E235" s="19"/>
      <c r="F235" s="18"/>
      <c r="G235" s="20"/>
      <c r="H235" s="16">
        <f>IF(AND(E235="",G235=""),"",IF(OR(E235="",G235=""),"falta dato",E235*G235))</f>
      </c>
      <c r="I235" s="18"/>
    </row>
    <row r="236" spans="1:9" x14ac:dyDescent="0.25">
      <c r="A236" s="17"/>
      <c r="B236" s="18"/>
      <c r="C236" s="18"/>
      <c r="D236" s="18"/>
      <c r="E236" s="19"/>
      <c r="F236" s="18"/>
      <c r="G236" s="20"/>
      <c r="H236" s="16">
        <f>IF(AND(E236="",G236=""),"",IF(OR(E236="",G236=""),"falta dato",E236*G236))</f>
      </c>
      <c r="I236" s="18"/>
    </row>
    <row r="237" spans="1:9" x14ac:dyDescent="0.25">
      <c r="A237" s="17"/>
      <c r="B237" s="18"/>
      <c r="C237" s="18"/>
      <c r="D237" s="18"/>
      <c r="E237" s="19"/>
      <c r="F237" s="18"/>
      <c r="G237" s="20"/>
      <c r="H237" s="16">
        <f>IF(AND(E237="",G237=""),"",IF(OR(E237="",G237=""),"falta dato",E237*G237))</f>
      </c>
      <c r="I237" s="18"/>
    </row>
    <row r="238" spans="1:9" x14ac:dyDescent="0.25">
      <c r="A238" s="17"/>
      <c r="B238" s="18"/>
      <c r="C238" s="18"/>
      <c r="D238" s="18"/>
      <c r="E238" s="19"/>
      <c r="F238" s="18"/>
      <c r="G238" s="20"/>
      <c r="H238" s="16">
        <f>IF(AND(E238="",G238=""),"",IF(OR(E238="",G238=""),"falta dato",E238*G238))</f>
      </c>
      <c r="I238" s="18"/>
    </row>
    <row r="239" spans="1:9" x14ac:dyDescent="0.25">
      <c r="A239" s="17"/>
      <c r="B239" s="18"/>
      <c r="C239" s="18"/>
      <c r="D239" s="18"/>
      <c r="E239" s="19"/>
      <c r="F239" s="18"/>
      <c r="G239" s="20"/>
      <c r="H239" s="16">
        <f>IF(AND(E239="",G239=""),"",IF(OR(E239="",G239=""),"falta dato",E239*G239))</f>
      </c>
      <c r="I239" s="18"/>
    </row>
    <row r="240" spans="1:9" x14ac:dyDescent="0.25">
      <c r="A240" s="17"/>
      <c r="B240" s="18"/>
      <c r="C240" s="18"/>
      <c r="D240" s="18"/>
      <c r="E240" s="19"/>
      <c r="F240" s="18"/>
      <c r="G240" s="20"/>
      <c r="H240" s="16">
        <f>IF(AND(E240="",G240=""),"",IF(OR(E240="",G240=""),"falta dato",E240*G240))</f>
      </c>
      <c r="I240" s="18"/>
    </row>
    <row r="241" spans="1:9" x14ac:dyDescent="0.25">
      <c r="A241" s="17"/>
      <c r="B241" s="18"/>
      <c r="C241" s="18"/>
      <c r="D241" s="18"/>
      <c r="E241" s="19"/>
      <c r="F241" s="18"/>
      <c r="G241" s="20"/>
      <c r="H241" s="16">
        <f>IF(AND(E241="",G241=""),"",IF(OR(E241="",G241=""),"falta dato",E241*G241))</f>
      </c>
      <c r="I241" s="18"/>
    </row>
    <row r="242" spans="1:9" x14ac:dyDescent="0.25">
      <c r="A242" s="17"/>
      <c r="B242" s="18"/>
      <c r="C242" s="18"/>
      <c r="D242" s="18"/>
      <c r="E242" s="19"/>
      <c r="F242" s="18"/>
      <c r="G242" s="20"/>
      <c r="H242" s="16">
        <f>IF(AND(E242="",G242=""),"",IF(OR(E242="",G242=""),"falta dato",E242*G242))</f>
      </c>
      <c r="I242" s="18"/>
    </row>
    <row r="243" spans="1:9" x14ac:dyDescent="0.25">
      <c r="A243" s="17"/>
      <c r="B243" s="18"/>
      <c r="C243" s="18"/>
      <c r="D243" s="18"/>
      <c r="E243" s="19"/>
      <c r="F243" s="18"/>
      <c r="G243" s="20"/>
      <c r="H243" s="16">
        <f>IF(AND(E243="",G243=""),"",IF(OR(E243="",G243=""),"falta dato",E243*G243))</f>
      </c>
      <c r="I243" s="18"/>
    </row>
    <row r="244" spans="1:9" x14ac:dyDescent="0.25">
      <c r="A244" s="17"/>
      <c r="B244" s="18"/>
      <c r="C244" s="18"/>
      <c r="D244" s="18"/>
      <c r="E244" s="19"/>
      <c r="F244" s="18"/>
      <c r="G244" s="20"/>
      <c r="H244" s="16">
        <f>IF(AND(E244="",G244=""),"",IF(OR(E244="",G244=""),"falta dato",E244*G244))</f>
      </c>
      <c r="I244" s="18"/>
    </row>
    <row r="245" spans="1:9" x14ac:dyDescent="0.25">
      <c r="A245" s="17"/>
      <c r="B245" s="18"/>
      <c r="C245" s="18"/>
      <c r="D245" s="18"/>
      <c r="E245" s="19"/>
      <c r="F245" s="18"/>
      <c r="G245" s="20"/>
      <c r="H245" s="16">
        <f>IF(AND(E245="",G245=""),"",IF(OR(E245="",G245=""),"falta dato",E245*G245))</f>
      </c>
      <c r="I245" s="18"/>
    </row>
    <row r="246" spans="1:9" x14ac:dyDescent="0.25">
      <c r="A246" s="17"/>
      <c r="B246" s="18"/>
      <c r="C246" s="18"/>
      <c r="D246" s="18"/>
      <c r="E246" s="19"/>
      <c r="F246" s="18"/>
      <c r="G246" s="20"/>
      <c r="H246" s="16">
        <f>IF(AND(E246="",G246=""),"",IF(OR(E246="",G246=""),"falta dato",E246*G246))</f>
      </c>
      <c r="I246" s="18"/>
    </row>
    <row r="247" spans="1:9" x14ac:dyDescent="0.25">
      <c r="A247" s="17"/>
      <c r="B247" s="18"/>
      <c r="C247" s="18"/>
      <c r="D247" s="18"/>
      <c r="E247" s="19"/>
      <c r="F247" s="18"/>
      <c r="G247" s="20"/>
      <c r="H247" s="16">
        <f>IF(AND(E247="",G247=""),"",IF(OR(E247="",G247=""),"falta dato",E247*G247))</f>
      </c>
      <c r="I247" s="18"/>
    </row>
    <row r="248" spans="1:9" x14ac:dyDescent="0.25">
      <c r="A248" s="17"/>
      <c r="B248" s="18"/>
      <c r="C248" s="18"/>
      <c r="D248" s="18"/>
      <c r="E248" s="19"/>
      <c r="F248" s="18"/>
      <c r="G248" s="20"/>
      <c r="H248" s="16">
        <f>IF(AND(E248="",G248=""),"",IF(OR(E248="",G248=""),"falta dato",E248*G248))</f>
      </c>
      <c r="I248" s="18"/>
    </row>
    <row r="249" spans="1:9" x14ac:dyDescent="0.25">
      <c r="A249" s="17"/>
      <c r="B249" s="18"/>
      <c r="C249" s="18"/>
      <c r="D249" s="18"/>
      <c r="E249" s="19"/>
      <c r="F249" s="18"/>
      <c r="G249" s="20"/>
      <c r="H249" s="16">
        <f>IF(AND(E249="",G249=""),"",IF(OR(E249="",G249=""),"falta dato",E249*G249))</f>
      </c>
      <c r="I249" s="18"/>
    </row>
    <row r="250" spans="1:9" x14ac:dyDescent="0.25">
      <c r="A250" s="17"/>
      <c r="B250" s="18"/>
      <c r="C250" s="18"/>
      <c r="D250" s="18"/>
      <c r="E250" s="19"/>
      <c r="F250" s="18"/>
      <c r="G250" s="20"/>
      <c r="H250" s="16">
        <f>IF(AND(E250="",G250=""),"",IF(OR(E250="",G250=""),"falta dato",E250*G250))</f>
      </c>
      <c r="I250" s="18"/>
    </row>
    <row r="251" spans="1:9" x14ac:dyDescent="0.25">
      <c r="A251" s="17"/>
      <c r="B251" s="18"/>
      <c r="C251" s="18"/>
      <c r="D251" s="18"/>
      <c r="E251" s="19"/>
      <c r="F251" s="18"/>
      <c r="G251" s="20"/>
      <c r="H251" s="16">
        <f>IF(AND(E251="",G251=""),"",IF(OR(E251="",G251=""),"falta dato",E251*G251))</f>
      </c>
      <c r="I251" s="18"/>
    </row>
    <row r="252" spans="1:9" x14ac:dyDescent="0.25">
      <c r="A252" s="17"/>
      <c r="B252" s="18"/>
      <c r="C252" s="18"/>
      <c r="D252" s="18"/>
      <c r="E252" s="19"/>
      <c r="F252" s="18"/>
      <c r="G252" s="20"/>
      <c r="H252" s="16">
        <f>IF(AND(E252="",G252=""),"",IF(OR(E252="",G252=""),"falta dato",E252*G252))</f>
      </c>
      <c r="I252" s="18"/>
    </row>
    <row r="253" spans="1:9" x14ac:dyDescent="0.25">
      <c r="A253" s="17"/>
      <c r="B253" s="18"/>
      <c r="C253" s="18"/>
      <c r="D253" s="18"/>
      <c r="E253" s="19"/>
      <c r="F253" s="18"/>
      <c r="G253" s="20"/>
      <c r="H253" s="16">
        <f>IF(AND(E253="",G253=""),"",IF(OR(E253="",G253=""),"falta dato",E253*G253))</f>
      </c>
      <c r="I253" s="18"/>
    </row>
    <row r="254" spans="1:9" x14ac:dyDescent="0.25">
      <c r="A254" s="17"/>
      <c r="B254" s="18"/>
      <c r="C254" s="18"/>
      <c r="D254" s="18"/>
      <c r="E254" s="19"/>
      <c r="F254" s="18"/>
      <c r="G254" s="20"/>
      <c r="H254" s="16">
        <f>IF(AND(E254="",G254=""),"",IF(OR(E254="",G254=""),"falta dato",E254*G254))</f>
      </c>
      <c r="I254" s="18"/>
    </row>
    <row r="255" spans="1:9" x14ac:dyDescent="0.25">
      <c r="A255" s="17"/>
      <c r="B255" s="18"/>
      <c r="C255" s="18"/>
      <c r="D255" s="18"/>
      <c r="E255" s="19"/>
      <c r="F255" s="18"/>
      <c r="G255" s="20"/>
      <c r="H255" s="16">
        <f>IF(AND(E255="",G255=""),"",IF(OR(E255="",G255=""),"falta dato",E255*G255))</f>
      </c>
      <c r="I255" s="18"/>
    </row>
    <row r="256" spans="1:9" x14ac:dyDescent="0.25">
      <c r="A256" s="17"/>
      <c r="B256" s="18"/>
      <c r="C256" s="18"/>
      <c r="D256" s="18"/>
      <c r="E256" s="19"/>
      <c r="F256" s="18"/>
      <c r="G256" s="20"/>
      <c r="H256" s="16">
        <f>IF(AND(E256="",G256=""),"",IF(OR(E256="",G256=""),"falta dato",E256*G256))</f>
      </c>
      <c r="I256" s="18"/>
    </row>
    <row r="257" spans="1:9" x14ac:dyDescent="0.25">
      <c r="A257" s="17"/>
      <c r="B257" s="18"/>
      <c r="C257" s="18"/>
      <c r="D257" s="18"/>
      <c r="E257" s="19"/>
      <c r="F257" s="18"/>
      <c r="G257" s="20"/>
      <c r="H257" s="16">
        <f>IF(AND(E257="",G257=""),"",IF(OR(E257="",G257=""),"falta dato",E257*G257))</f>
      </c>
      <c r="I257" s="18"/>
    </row>
    <row r="258" spans="1:9" x14ac:dyDescent="0.25">
      <c r="A258" s="17"/>
      <c r="B258" s="18"/>
      <c r="C258" s="18"/>
      <c r="D258" s="18"/>
      <c r="E258" s="19"/>
      <c r="F258" s="18"/>
      <c r="G258" s="20"/>
      <c r="H258" s="16">
        <f>IF(AND(E258="",G258=""),"",IF(OR(E258="",G258=""),"falta dato",E258*G258))</f>
      </c>
      <c r="I258" s="18"/>
    </row>
    <row r="259" spans="1:9" x14ac:dyDescent="0.25">
      <c r="A259" s="17"/>
      <c r="B259" s="18"/>
      <c r="C259" s="18"/>
      <c r="D259" s="18"/>
      <c r="E259" s="19"/>
      <c r="F259" s="18"/>
      <c r="G259" s="20"/>
      <c r="H259" s="16">
        <f>IF(AND(E259="",G259=""),"",IF(OR(E259="",G259=""),"falta dato",E259*G259))</f>
      </c>
      <c r="I259" s="18"/>
    </row>
    <row r="260" spans="1:9" x14ac:dyDescent="0.25">
      <c r="A260" s="17"/>
      <c r="B260" s="18"/>
      <c r="C260" s="18"/>
      <c r="D260" s="18"/>
      <c r="E260" s="19"/>
      <c r="F260" s="18"/>
      <c r="G260" s="20"/>
      <c r="H260" s="16">
        <f>IF(AND(E260="",G260=""),"",IF(OR(E260="",G260=""),"falta dato",E260*G260))</f>
      </c>
      <c r="I260" s="18"/>
    </row>
    <row r="261" spans="1:9" x14ac:dyDescent="0.25">
      <c r="A261" s="17"/>
      <c r="B261" s="18"/>
      <c r="C261" s="18"/>
      <c r="D261" s="18"/>
      <c r="E261" s="19"/>
      <c r="F261" s="18"/>
      <c r="G261" s="20"/>
      <c r="H261" s="16">
        <f>IF(AND(E261="",G261=""),"",IF(OR(E261="",G261=""),"falta dato",E261*G261))</f>
      </c>
      <c r="I261" s="18"/>
    </row>
    <row r="262" spans="1:9" x14ac:dyDescent="0.25">
      <c r="A262" s="17"/>
      <c r="B262" s="18"/>
      <c r="C262" s="18"/>
      <c r="D262" s="18"/>
      <c r="E262" s="19"/>
      <c r="F262" s="18"/>
      <c r="G262" s="20"/>
      <c r="H262" s="16">
        <f>IF(AND(E262="",G262=""),"",IF(OR(E262="",G262=""),"falta dato",E262*G262))</f>
      </c>
      <c r="I262" s="18"/>
    </row>
    <row r="263" spans="1:9" x14ac:dyDescent="0.25">
      <c r="A263" s="17"/>
      <c r="B263" s="18"/>
      <c r="C263" s="18"/>
      <c r="D263" s="18"/>
      <c r="E263" s="19"/>
      <c r="F263" s="18"/>
      <c r="G263" s="20"/>
      <c r="H263" s="16">
        <f>IF(AND(E263="",G263=""),"",IF(OR(E263="",G263=""),"falta dato",E263*G263))</f>
      </c>
      <c r="I263" s="18"/>
    </row>
    <row r="264" spans="1:9" x14ac:dyDescent="0.25">
      <c r="A264" s="17"/>
      <c r="B264" s="18"/>
      <c r="C264" s="18"/>
      <c r="D264" s="18"/>
      <c r="E264" s="19"/>
      <c r="F264" s="18"/>
      <c r="G264" s="20"/>
      <c r="H264" s="16">
        <f>IF(AND(E264="",G264=""),"",IF(OR(E264="",G264=""),"falta dato",E264*G264))</f>
      </c>
      <c r="I264" s="18"/>
    </row>
    <row r="265" spans="1:9" x14ac:dyDescent="0.25">
      <c r="A265" s="17"/>
      <c r="B265" s="18"/>
      <c r="C265" s="18"/>
      <c r="D265" s="18"/>
      <c r="E265" s="19"/>
      <c r="F265" s="18"/>
      <c r="G265" s="20"/>
      <c r="H265" s="16">
        <f>IF(AND(E265="",G265=""),"",IF(OR(E265="",G265=""),"falta dato",E265*G265))</f>
      </c>
      <c r="I265" s="18"/>
    </row>
    <row r="266" spans="1:9" x14ac:dyDescent="0.25">
      <c r="A266" s="17"/>
      <c r="B266" s="18"/>
      <c r="C266" s="18"/>
      <c r="D266" s="18"/>
      <c r="E266" s="19"/>
      <c r="F266" s="18"/>
      <c r="G266" s="20"/>
      <c r="H266" s="16">
        <f>IF(AND(E266="",G266=""),"",IF(OR(E266="",G266=""),"falta dato",E266*G266))</f>
      </c>
      <c r="I266" s="18"/>
    </row>
    <row r="267" spans="1:9" x14ac:dyDescent="0.25">
      <c r="A267" s="17"/>
      <c r="B267" s="18"/>
      <c r="C267" s="18"/>
      <c r="D267" s="18"/>
      <c r="E267" s="19"/>
      <c r="F267" s="18"/>
      <c r="G267" s="20"/>
      <c r="H267" s="16">
        <f>IF(AND(E267="",G267=""),"",IF(OR(E267="",G267=""),"falta dato",E267*G267))</f>
      </c>
      <c r="I267" s="18"/>
    </row>
    <row r="268" spans="1:9" x14ac:dyDescent="0.25">
      <c r="A268" s="17"/>
      <c r="B268" s="18"/>
      <c r="C268" s="18"/>
      <c r="D268" s="18"/>
      <c r="E268" s="19"/>
      <c r="F268" s="18"/>
      <c r="G268" s="20"/>
      <c r="H268" s="16">
        <f>IF(AND(E268="",G268=""),"",IF(OR(E268="",G268=""),"falta dato",E268*G268))</f>
      </c>
      <c r="I268" s="18"/>
    </row>
    <row r="269" spans="1:9" x14ac:dyDescent="0.25">
      <c r="A269" s="17"/>
      <c r="B269" s="18"/>
      <c r="C269" s="18"/>
      <c r="D269" s="18"/>
      <c r="E269" s="19"/>
      <c r="F269" s="18"/>
      <c r="G269" s="20"/>
      <c r="H269" s="16">
        <f>IF(AND(E269="",G269=""),"",IF(OR(E269="",G269=""),"falta dato",E269*G269))</f>
      </c>
      <c r="I269" s="18"/>
    </row>
    <row r="270" spans="1:9" x14ac:dyDescent="0.25">
      <c r="A270" s="17"/>
      <c r="B270" s="18"/>
      <c r="C270" s="18"/>
      <c r="D270" s="18"/>
      <c r="E270" s="19"/>
      <c r="F270" s="18"/>
      <c r="G270" s="20"/>
      <c r="H270" s="16">
        <f>IF(AND(E270="",G270=""),"",IF(OR(E270="",G270=""),"falta dato",E270*G270))</f>
      </c>
      <c r="I270" s="18"/>
    </row>
    <row r="271" spans="1:9" x14ac:dyDescent="0.25">
      <c r="A271" s="17"/>
      <c r="B271" s="18"/>
      <c r="C271" s="18"/>
      <c r="D271" s="18"/>
      <c r="E271" s="19"/>
      <c r="F271" s="18"/>
      <c r="G271" s="20"/>
      <c r="H271" s="16">
        <f>IF(AND(E271="",G271=""),"",IF(OR(E271="",G271=""),"falta dato",E271*G271))</f>
      </c>
      <c r="I271" s="18"/>
    </row>
    <row r="272" spans="1:9" x14ac:dyDescent="0.25">
      <c r="A272" s="17"/>
      <c r="B272" s="18"/>
      <c r="C272" s="18"/>
      <c r="D272" s="18"/>
      <c r="E272" s="19"/>
      <c r="F272" s="18"/>
      <c r="G272" s="20"/>
      <c r="H272" s="16">
        <f>IF(AND(E272="",G272=""),"",IF(OR(E272="",G272=""),"falta dato",E272*G272))</f>
      </c>
      <c r="I272" s="18"/>
    </row>
    <row r="273" spans="1:9" x14ac:dyDescent="0.25">
      <c r="A273" s="17"/>
      <c r="B273" s="18"/>
      <c r="C273" s="18"/>
      <c r="D273" s="18"/>
      <c r="E273" s="19"/>
      <c r="F273" s="18"/>
      <c r="G273" s="20"/>
      <c r="H273" s="16">
        <f>IF(AND(E273="",G273=""),"",IF(OR(E273="",G273=""),"falta dato",E273*G273))</f>
      </c>
      <c r="I273" s="18"/>
    </row>
    <row r="274" spans="1:9" x14ac:dyDescent="0.25">
      <c r="A274" s="17"/>
      <c r="B274" s="18"/>
      <c r="C274" s="18"/>
      <c r="D274" s="18"/>
      <c r="E274" s="19"/>
      <c r="F274" s="18"/>
      <c r="G274" s="20"/>
      <c r="H274" s="16">
        <f>IF(AND(E274="",G274=""),"",IF(OR(E274="",G274=""),"falta dato",E274*G274))</f>
      </c>
      <c r="I274" s="18"/>
    </row>
    <row r="275" spans="1:9" x14ac:dyDescent="0.25">
      <c r="A275" s="17"/>
      <c r="B275" s="18"/>
      <c r="C275" s="18"/>
      <c r="D275" s="18"/>
      <c r="E275" s="19"/>
      <c r="F275" s="18"/>
      <c r="G275" s="20"/>
      <c r="H275" s="16">
        <f>IF(AND(E275="",G275=""),"",IF(OR(E275="",G275=""),"falta dato",E275*G275))</f>
      </c>
      <c r="I275" s="18"/>
    </row>
    <row r="276" spans="1:9" x14ac:dyDescent="0.25">
      <c r="A276" s="17"/>
      <c r="B276" s="18"/>
      <c r="C276" s="18"/>
      <c r="D276" s="18"/>
      <c r="E276" s="19"/>
      <c r="F276" s="18"/>
      <c r="G276" s="20"/>
      <c r="H276" s="16">
        <f>IF(AND(E276="",G276=""),"",IF(OR(E276="",G276=""),"falta dato",E276*G276))</f>
      </c>
      <c r="I276" s="18"/>
    </row>
    <row r="277" spans="1:9" x14ac:dyDescent="0.25">
      <c r="A277" s="17"/>
      <c r="B277" s="18"/>
      <c r="C277" s="18"/>
      <c r="D277" s="18"/>
      <c r="E277" s="19"/>
      <c r="F277" s="18"/>
      <c r="G277" s="20"/>
      <c r="H277" s="16">
        <f>IF(AND(E277="",G277=""),"",IF(OR(E277="",G277=""),"falta dato",E277*G277))</f>
      </c>
      <c r="I277" s="18"/>
    </row>
    <row r="278" spans="1:9" x14ac:dyDescent="0.25">
      <c r="A278" s="17"/>
      <c r="B278" s="18"/>
      <c r="C278" s="18"/>
      <c r="D278" s="18"/>
      <c r="E278" s="19"/>
      <c r="F278" s="18"/>
      <c r="G278" s="20"/>
      <c r="H278" s="16">
        <f>IF(AND(E278="",G278=""),"",IF(OR(E278="",G278=""),"falta dato",E278*G278))</f>
      </c>
      <c r="I278" s="18"/>
    </row>
    <row r="279" spans="1:9" x14ac:dyDescent="0.25">
      <c r="A279" s="17"/>
      <c r="B279" s="18"/>
      <c r="C279" s="18"/>
      <c r="D279" s="18"/>
      <c r="E279" s="19"/>
      <c r="F279" s="18"/>
      <c r="G279" s="20"/>
      <c r="H279" s="16">
        <f>IF(AND(E279="",G279=""),"",IF(OR(E279="",G279=""),"falta dato",E279*G279))</f>
      </c>
      <c r="I279" s="18"/>
    </row>
    <row r="280" spans="1:9" x14ac:dyDescent="0.25">
      <c r="A280" s="17"/>
      <c r="B280" s="18"/>
      <c r="C280" s="18"/>
      <c r="D280" s="18"/>
      <c r="E280" s="19"/>
      <c r="F280" s="18"/>
      <c r="G280" s="20"/>
      <c r="H280" s="16">
        <f>IF(AND(E280="",G280=""),"",IF(OR(E280="",G280=""),"falta dato",E280*G280))</f>
      </c>
      <c r="I280" s="18"/>
    </row>
    <row r="281" spans="1:9" x14ac:dyDescent="0.25">
      <c r="A281" s="17"/>
      <c r="B281" s="18"/>
      <c r="C281" s="18"/>
      <c r="D281" s="18"/>
      <c r="E281" s="19"/>
      <c r="F281" s="18"/>
      <c r="G281" s="20"/>
      <c r="H281" s="16">
        <f>IF(AND(E281="",G281=""),"",IF(OR(E281="",G281=""),"falta dato",E281*G281))</f>
      </c>
      <c r="I281" s="18"/>
    </row>
    <row r="282" spans="1:9" x14ac:dyDescent="0.25">
      <c r="A282" s="17"/>
      <c r="B282" s="18"/>
      <c r="C282" s="18"/>
      <c r="D282" s="18"/>
      <c r="E282" s="19"/>
      <c r="F282" s="18"/>
      <c r="G282" s="20"/>
      <c r="H282" s="16">
        <f>IF(AND(E282="",G282=""),"",IF(OR(E282="",G282=""),"falta dato",E282*G282))</f>
      </c>
      <c r="I282" s="18"/>
    </row>
    <row r="283" spans="1:9" x14ac:dyDescent="0.25">
      <c r="A283" s="17"/>
      <c r="B283" s="18"/>
      <c r="C283" s="18"/>
      <c r="D283" s="18"/>
      <c r="E283" s="19"/>
      <c r="F283" s="18"/>
      <c r="G283" s="20"/>
      <c r="H283" s="16">
        <f>IF(AND(E283="",G283=""),"",IF(OR(E283="",G283=""),"falta dato",E283*G283))</f>
      </c>
      <c r="I283" s="18"/>
    </row>
    <row r="284" spans="1:9" x14ac:dyDescent="0.25">
      <c r="A284" s="17"/>
      <c r="B284" s="18"/>
      <c r="C284" s="18"/>
      <c r="D284" s="18"/>
      <c r="E284" s="19"/>
      <c r="F284" s="18"/>
      <c r="G284" s="20"/>
      <c r="H284" s="16">
        <f>IF(AND(E284="",G284=""),"",IF(OR(E284="",G284=""),"falta dato",E284*G284))</f>
      </c>
      <c r="I284" s="18"/>
    </row>
    <row r="285" spans="1:9" x14ac:dyDescent="0.25">
      <c r="A285" s="17"/>
      <c r="B285" s="18"/>
      <c r="C285" s="18"/>
      <c r="D285" s="18"/>
      <c r="E285" s="19"/>
      <c r="F285" s="18"/>
      <c r="G285" s="20"/>
      <c r="H285" s="16">
        <f>IF(AND(E285="",G285=""),"",IF(OR(E285="",G285=""),"falta dato",E285*G285))</f>
      </c>
      <c r="I285" s="18"/>
    </row>
    <row r="286" spans="1:9" x14ac:dyDescent="0.25">
      <c r="A286" s="17"/>
      <c r="B286" s="18"/>
      <c r="C286" s="18"/>
      <c r="D286" s="18"/>
      <c r="E286" s="19"/>
      <c r="F286" s="18"/>
      <c r="G286" s="20"/>
      <c r="H286" s="16">
        <f>IF(AND(E286="",G286=""),"",IF(OR(E286="",G286=""),"falta dato",E286*G286))</f>
      </c>
      <c r="I286" s="18"/>
    </row>
    <row r="287" spans="1:9" x14ac:dyDescent="0.25">
      <c r="A287" s="17"/>
      <c r="B287" s="18"/>
      <c r="C287" s="18"/>
      <c r="D287" s="18"/>
      <c r="E287" s="19"/>
      <c r="F287" s="18"/>
      <c r="G287" s="20"/>
      <c r="H287" s="16">
        <f>IF(AND(E287="",G287=""),"",IF(OR(E287="",G287=""),"falta dato",E287*G287))</f>
      </c>
      <c r="I287" s="18"/>
    </row>
    <row r="288" spans="1:9" x14ac:dyDescent="0.25">
      <c r="A288" s="17"/>
      <c r="B288" s="18"/>
      <c r="C288" s="18"/>
      <c r="D288" s="18"/>
      <c r="E288" s="19"/>
      <c r="F288" s="18"/>
      <c r="G288" s="20"/>
      <c r="H288" s="16">
        <f>IF(AND(E288="",G288=""),"",IF(OR(E288="",G288=""),"falta dato",E288*G288))</f>
      </c>
      <c r="I288" s="18"/>
    </row>
    <row r="289" spans="1:9" x14ac:dyDescent="0.25">
      <c r="A289" s="17"/>
      <c r="B289" s="18"/>
      <c r="C289" s="18"/>
      <c r="D289" s="18"/>
      <c r="E289" s="19"/>
      <c r="F289" s="18"/>
      <c r="G289" s="20"/>
      <c r="H289" s="16">
        <f>IF(AND(E289="",G289=""),"",IF(OR(E289="",G289=""),"falta dato",E289*G289))</f>
      </c>
      <c r="I289" s="18"/>
    </row>
    <row r="290" spans="1:9" x14ac:dyDescent="0.25">
      <c r="A290" s="17"/>
      <c r="B290" s="18"/>
      <c r="C290" s="18"/>
      <c r="D290" s="18"/>
      <c r="E290" s="19"/>
      <c r="F290" s="18"/>
      <c r="G290" s="20"/>
      <c r="H290" s="16">
        <f>IF(AND(E290="",G290=""),"",IF(OR(E290="",G290=""),"falta dato",E290*G290))</f>
      </c>
      <c r="I290" s="18"/>
    </row>
    <row r="291" spans="1:9" x14ac:dyDescent="0.25">
      <c r="A291" s="17"/>
      <c r="B291" s="18"/>
      <c r="C291" s="18"/>
      <c r="D291" s="18"/>
      <c r="E291" s="19"/>
      <c r="F291" s="18"/>
      <c r="G291" s="20"/>
      <c r="H291" s="16">
        <f>IF(AND(E291="",G291=""),"",IF(OR(E291="",G291=""),"falta dato",E291*G291))</f>
      </c>
      <c r="I291" s="18"/>
    </row>
    <row r="292" spans="1:9" x14ac:dyDescent="0.25">
      <c r="A292" s="17"/>
      <c r="B292" s="18"/>
      <c r="C292" s="18"/>
      <c r="D292" s="18"/>
      <c r="E292" s="19"/>
      <c r="F292" s="18"/>
      <c r="G292" s="20"/>
      <c r="H292" s="16">
        <f>IF(AND(E292="",G292=""),"",IF(OR(E292="",G292=""),"falta dato",E292*G292))</f>
      </c>
      <c r="I292" s="18"/>
    </row>
    <row r="293" spans="1:9" x14ac:dyDescent="0.25">
      <c r="A293" s="17"/>
      <c r="B293" s="18"/>
      <c r="C293" s="18"/>
      <c r="D293" s="18"/>
      <c r="E293" s="19"/>
      <c r="F293" s="18"/>
      <c r="G293" s="20"/>
      <c r="H293" s="16">
        <f>IF(AND(E293="",G293=""),"",IF(OR(E293="",G293=""),"falta dato",E293*G293))</f>
      </c>
      <c r="I293" s="18"/>
    </row>
    <row r="294" spans="1:9" x14ac:dyDescent="0.25">
      <c r="A294" s="17"/>
      <c r="B294" s="18"/>
      <c r="C294" s="18"/>
      <c r="D294" s="18"/>
      <c r="E294" s="19"/>
      <c r="F294" s="18"/>
      <c r="G294" s="20"/>
      <c r="H294" s="16">
        <f>IF(AND(E294="",G294=""),"",IF(OR(E294="",G294=""),"falta dato",E294*G294))</f>
      </c>
      <c r="I294" s="18"/>
    </row>
    <row r="295" spans="1:9" x14ac:dyDescent="0.25">
      <c r="A295" s="17"/>
      <c r="B295" s="18"/>
      <c r="C295" s="18"/>
      <c r="D295" s="18"/>
      <c r="E295" s="19"/>
      <c r="F295" s="18"/>
      <c r="G295" s="20"/>
      <c r="H295" s="16">
        <f>IF(AND(E295="",G295=""),"",IF(OR(E295="",G295=""),"falta dato",E295*G295))</f>
      </c>
      <c r="I295" s="18"/>
    </row>
    <row r="296" spans="1:9" x14ac:dyDescent="0.25">
      <c r="A296" s="17"/>
      <c r="B296" s="18"/>
      <c r="C296" s="18"/>
      <c r="D296" s="18"/>
      <c r="E296" s="19"/>
      <c r="F296" s="18"/>
      <c r="G296" s="20"/>
      <c r="H296" s="16">
        <f>IF(AND(E296="",G296=""),"",IF(OR(E296="",G296=""),"falta dato",E296*G296))</f>
      </c>
      <c r="I296" s="18"/>
    </row>
    <row r="297" spans="1:9" x14ac:dyDescent="0.25">
      <c r="A297" s="17"/>
      <c r="B297" s="18"/>
      <c r="C297" s="18"/>
      <c r="D297" s="18"/>
      <c r="E297" s="19"/>
      <c r="F297" s="18"/>
      <c r="G297" s="20"/>
      <c r="H297" s="16">
        <f>IF(AND(E297="",G297=""),"",IF(OR(E297="",G297=""),"falta dato",E297*G297))</f>
      </c>
      <c r="I297" s="18"/>
    </row>
    <row r="298" spans="1:9" x14ac:dyDescent="0.25">
      <c r="A298" s="17"/>
      <c r="B298" s="18"/>
      <c r="C298" s="18"/>
      <c r="D298" s="18"/>
      <c r="E298" s="19"/>
      <c r="F298" s="18"/>
      <c r="G298" s="20"/>
      <c r="H298" s="16">
        <f>IF(AND(E298="",G298=""),"",IF(OR(E298="",G298=""),"falta dato",E298*G298))</f>
      </c>
      <c r="I298" s="18"/>
    </row>
    <row r="299" spans="1:9" x14ac:dyDescent="0.25">
      <c r="A299" s="17"/>
      <c r="B299" s="18"/>
      <c r="C299" s="18"/>
      <c r="D299" s="18"/>
      <c r="E299" s="19"/>
      <c r="F299" s="18"/>
      <c r="G299" s="20"/>
      <c r="H299" s="16">
        <f>IF(AND(E299="",G299=""),"",IF(OR(E299="",G299=""),"falta dato",E299*G299))</f>
      </c>
      <c r="I299" s="18"/>
    </row>
    <row r="300" spans="1:9" x14ac:dyDescent="0.25">
      <c r="A300" s="17"/>
      <c r="B300" s="18"/>
      <c r="C300" s="18"/>
      <c r="D300" s="18"/>
      <c r="E300" s="19"/>
      <c r="F300" s="18"/>
      <c r="G300" s="20"/>
      <c r="H300" s="16">
        <f>IF(AND(E300="",G300=""),"",IF(OR(E300="",G300=""),"falta dato",E300*G300))</f>
      </c>
      <c r="I300" s="18"/>
    </row>
    <row r="301" spans="1:9" x14ac:dyDescent="0.25">
      <c r="A301" s="17"/>
      <c r="B301" s="18"/>
      <c r="C301" s="18"/>
      <c r="D301" s="18"/>
      <c r="E301" s="19"/>
      <c r="F301" s="18"/>
      <c r="G301" s="20"/>
      <c r="H301" s="16">
        <f>IF(AND(E301="",G301=""),"",IF(OR(E301="",G301=""),"falta dato",E301*G301))</f>
      </c>
      <c r="I301" s="18"/>
    </row>
    <row r="302" spans="1:9" x14ac:dyDescent="0.25">
      <c r="A302" s="17"/>
      <c r="B302" s="18"/>
      <c r="C302" s="18"/>
      <c r="D302" s="18"/>
      <c r="E302" s="19"/>
      <c r="F302" s="18"/>
      <c r="G302" s="20"/>
      <c r="H302" s="16">
        <f>IF(AND(E302="",G302=""),"",IF(OR(E302="",G302=""),"falta dato",E302*G302))</f>
      </c>
      <c r="I302" s="18"/>
    </row>
    <row r="303" spans="1:9" x14ac:dyDescent="0.25">
      <c r="A303" s="17"/>
      <c r="B303" s="18"/>
      <c r="C303" s="18"/>
      <c r="D303" s="18"/>
      <c r="E303" s="19"/>
      <c r="F303" s="18"/>
      <c r="G303" s="20"/>
      <c r="H303" s="16">
        <f>IF(AND(E303="",G303=""),"",IF(OR(E303="",G303=""),"falta dato",E303*G303))</f>
      </c>
      <c r="I303" s="18"/>
    </row>
    <row r="304" spans="1:9" x14ac:dyDescent="0.25">
      <c r="A304" s="17"/>
      <c r="B304" s="18"/>
      <c r="C304" s="18"/>
      <c r="D304" s="18"/>
      <c r="E304" s="19"/>
      <c r="F304" s="18"/>
      <c r="G304" s="20"/>
      <c r="H304" s="16">
        <f>IF(AND(E304="",G304=""),"",IF(OR(E304="",G304=""),"falta dato",E304*G304))</f>
      </c>
      <c r="I304" s="18"/>
    </row>
    <row r="305" spans="1:9" x14ac:dyDescent="0.25">
      <c r="A305" s="17"/>
      <c r="B305" s="18"/>
      <c r="C305" s="18"/>
      <c r="D305" s="18"/>
      <c r="E305" s="19"/>
      <c r="F305" s="18"/>
      <c r="G305" s="20"/>
      <c r="H305" s="16">
        <f>IF(AND(E305="",G305=""),"",IF(OR(E305="",G305=""),"falta dato",E305*G305))</f>
      </c>
      <c r="I305" s="18"/>
    </row>
    <row r="306" spans="1:9" x14ac:dyDescent="0.25">
      <c r="A306" s="17"/>
      <c r="B306" s="18"/>
      <c r="C306" s="18"/>
      <c r="D306" s="18"/>
      <c r="E306" s="19"/>
      <c r="F306" s="18"/>
      <c r="G306" s="20"/>
      <c r="H306" s="16">
        <f>IF(AND(E306="",G306=""),"",IF(OR(E306="",G306=""),"falta dato",E306*G306))</f>
      </c>
      <c r="I306" s="18"/>
    </row>
    <row r="307" spans="1:9" x14ac:dyDescent="0.25">
      <c r="A307" s="17"/>
      <c r="B307" s="18"/>
      <c r="C307" s="18"/>
      <c r="D307" s="18"/>
      <c r="E307" s="19"/>
      <c r="F307" s="18"/>
      <c r="G307" s="20"/>
      <c r="H307" s="16">
        <f>IF(AND(E307="",G307=""),"",IF(OR(E307="",G307=""),"falta dato",E307*G307))</f>
      </c>
      <c r="I307" s="18"/>
    </row>
    <row r="308" spans="1:9" x14ac:dyDescent="0.25">
      <c r="A308" s="17"/>
      <c r="B308" s="18"/>
      <c r="C308" s="18"/>
      <c r="D308" s="18"/>
      <c r="E308" s="19"/>
      <c r="F308" s="18"/>
      <c r="G308" s="20"/>
      <c r="H308" s="16">
        <f>IF(AND(E308="",G308=""),"",IF(OR(E308="",G308=""),"falta dato",E308*G308))</f>
      </c>
      <c r="I308" s="18"/>
    </row>
    <row r="309" spans="1:9" x14ac:dyDescent="0.25">
      <c r="A309" s="17"/>
      <c r="B309" s="18"/>
      <c r="C309" s="18"/>
      <c r="D309" s="18"/>
      <c r="E309" s="19"/>
      <c r="F309" s="18"/>
      <c r="G309" s="20"/>
      <c r="H309" s="16">
        <f>IF(AND(E309="",G309=""),"",IF(OR(E309="",G309=""),"falta dato",E309*G309))</f>
      </c>
      <c r="I309" s="18"/>
    </row>
    <row r="310" spans="1:9" x14ac:dyDescent="0.25">
      <c r="A310" s="17"/>
      <c r="B310" s="18"/>
      <c r="C310" s="18"/>
      <c r="D310" s="18"/>
      <c r="E310" s="19"/>
      <c r="F310" s="18"/>
      <c r="G310" s="20"/>
      <c r="H310" s="16">
        <f>IF(AND(E310="",G310=""),"",IF(OR(E310="",G310=""),"falta dato",E310*G310))</f>
      </c>
      <c r="I310" s="18"/>
    </row>
    <row r="311" spans="1:9" x14ac:dyDescent="0.25">
      <c r="A311" s="17"/>
      <c r="B311" s="18"/>
      <c r="C311" s="18"/>
      <c r="D311" s="18"/>
      <c r="E311" s="19"/>
      <c r="F311" s="18"/>
      <c r="G311" s="20"/>
      <c r="H311" s="16">
        <f>IF(AND(E311="",G311=""),"",IF(OR(E311="",G311=""),"falta dato",E311*G311))</f>
      </c>
      <c r="I311" s="18"/>
    </row>
    <row r="312" spans="1:9" x14ac:dyDescent="0.25">
      <c r="A312" s="17"/>
      <c r="B312" s="18"/>
      <c r="C312" s="18"/>
      <c r="D312" s="18"/>
      <c r="E312" s="19"/>
      <c r="F312" s="18"/>
      <c r="G312" s="20"/>
      <c r="H312" s="16">
        <f>IF(AND(E312="",G312=""),"",IF(OR(E312="",G312=""),"falta dato",E312*G312))</f>
      </c>
      <c r="I312" s="18"/>
    </row>
    <row r="313" spans="1:9" x14ac:dyDescent="0.25">
      <c r="A313" s="17"/>
      <c r="B313" s="18"/>
      <c r="C313" s="18"/>
      <c r="D313" s="18"/>
      <c r="E313" s="19"/>
      <c r="F313" s="18"/>
      <c r="G313" s="20"/>
      <c r="H313" s="16">
        <f>IF(AND(E313="",G313=""),"",IF(OR(E313="",G313=""),"falta dato",E313*G313))</f>
      </c>
      <c r="I313" s="18"/>
    </row>
    <row r="314" spans="1:9" x14ac:dyDescent="0.25">
      <c r="A314" s="17"/>
      <c r="B314" s="18"/>
      <c r="C314" s="18"/>
      <c r="D314" s="18"/>
      <c r="E314" s="19"/>
      <c r="F314" s="18"/>
      <c r="G314" s="20"/>
      <c r="H314" s="16">
        <f>IF(AND(E314="",G314=""),"",IF(OR(E314="",G314=""),"falta dato",E314*G314))</f>
      </c>
      <c r="I314" s="18"/>
    </row>
    <row r="315" spans="1:9" x14ac:dyDescent="0.25">
      <c r="A315" s="17"/>
      <c r="B315" s="18"/>
      <c r="C315" s="18"/>
      <c r="D315" s="18"/>
      <c r="E315" s="19"/>
      <c r="F315" s="18"/>
      <c r="G315" s="20"/>
      <c r="H315" s="16">
        <f>IF(AND(E315="",G315=""),"",IF(OR(E315="",G315=""),"falta dato",E315*G315))</f>
      </c>
      <c r="I315" s="18"/>
    </row>
    <row r="316" spans="1:9" x14ac:dyDescent="0.25">
      <c r="A316" s="17"/>
      <c r="B316" s="18"/>
      <c r="C316" s="18"/>
      <c r="D316" s="18"/>
      <c r="E316" s="19"/>
      <c r="F316" s="18"/>
      <c r="G316" s="20"/>
      <c r="H316" s="16">
        <f>IF(AND(E316="",G316=""),"",IF(OR(E316="",G316=""),"falta dato",E316*G316))</f>
      </c>
      <c r="I316" s="18"/>
    </row>
    <row r="317" spans="1:9" x14ac:dyDescent="0.25">
      <c r="A317" s="17"/>
      <c r="B317" s="18"/>
      <c r="C317" s="18"/>
      <c r="D317" s="18"/>
      <c r="E317" s="19"/>
      <c r="F317" s="18"/>
      <c r="G317" s="20"/>
      <c r="H317" s="16">
        <f>IF(AND(E317="",G317=""),"",IF(OR(E317="",G317=""),"falta dato",E317*G317))</f>
      </c>
      <c r="I317" s="18"/>
    </row>
    <row r="318" spans="1:9" x14ac:dyDescent="0.25">
      <c r="A318" s="17"/>
      <c r="B318" s="18"/>
      <c r="C318" s="18"/>
      <c r="D318" s="18"/>
      <c r="E318" s="19"/>
      <c r="F318" s="18"/>
      <c r="G318" s="20"/>
      <c r="H318" s="16">
        <f>IF(AND(E318="",G318=""),"",IF(OR(E318="",G318=""),"falta dato",E318*G318))</f>
      </c>
      <c r="I318" s="18"/>
    </row>
    <row r="319" spans="1:9" x14ac:dyDescent="0.25">
      <c r="A319" s="17"/>
      <c r="B319" s="18"/>
      <c r="C319" s="18"/>
      <c r="D319" s="18"/>
      <c r="E319" s="19"/>
      <c r="F319" s="18"/>
      <c r="G319" s="20"/>
      <c r="H319" s="16">
        <f>IF(AND(E319="",G319=""),"",IF(OR(E319="",G319=""),"falta dato",E319*G319))</f>
      </c>
      <c r="I319" s="18"/>
    </row>
    <row r="320" spans="1:9" x14ac:dyDescent="0.25">
      <c r="A320" s="17"/>
      <c r="B320" s="18"/>
      <c r="C320" s="18"/>
      <c r="D320" s="18"/>
      <c r="E320" s="19"/>
      <c r="F320" s="18"/>
      <c r="G320" s="20"/>
      <c r="H320" s="16">
        <f>IF(AND(E320="",G320=""),"",IF(OR(E320="",G320=""),"falta dato",E320*G320))</f>
      </c>
      <c r="I320" s="18"/>
    </row>
    <row r="321" spans="1:9" x14ac:dyDescent="0.25">
      <c r="A321" s="17"/>
      <c r="B321" s="18"/>
      <c r="C321" s="18"/>
      <c r="D321" s="18"/>
      <c r="E321" s="19"/>
      <c r="F321" s="18"/>
      <c r="G321" s="20"/>
      <c r="H321" s="16">
        <f>IF(AND(E321="",G321=""),"",IF(OR(E321="",G321=""),"falta dato",E321*G321))</f>
      </c>
      <c r="I321" s="18"/>
    </row>
    <row r="322" spans="1:9" x14ac:dyDescent="0.25">
      <c r="A322" s="17"/>
      <c r="B322" s="18"/>
      <c r="C322" s="18"/>
      <c r="D322" s="18"/>
      <c r="E322" s="19"/>
      <c r="F322" s="18"/>
      <c r="G322" s="20"/>
      <c r="H322" s="16">
        <f>IF(AND(E322="",G322=""),"",IF(OR(E322="",G322=""),"falta dato",E322*G322))</f>
      </c>
      <c r="I322" s="18"/>
    </row>
    <row r="323" spans="1:9" x14ac:dyDescent="0.25">
      <c r="A323" s="17"/>
      <c r="B323" s="18"/>
      <c r="C323" s="18"/>
      <c r="D323" s="18"/>
      <c r="E323" s="19"/>
      <c r="F323" s="18"/>
      <c r="G323" s="20"/>
      <c r="H323" s="16">
        <f>IF(AND(E323="",G323=""),"",IF(OR(E323="",G323=""),"falta dato",E323*G323))</f>
      </c>
      <c r="I323" s="18"/>
    </row>
    <row r="324" spans="1:9" x14ac:dyDescent="0.25">
      <c r="A324" s="17"/>
      <c r="B324" s="18"/>
      <c r="C324" s="18"/>
      <c r="D324" s="18"/>
      <c r="E324" s="19"/>
      <c r="F324" s="18"/>
      <c r="G324" s="20"/>
      <c r="H324" s="16">
        <f>IF(AND(E324="",G324=""),"",IF(OR(E324="",G324=""),"falta dato",E324*G324))</f>
      </c>
      <c r="I324" s="18"/>
    </row>
    <row r="325" spans="1:9" x14ac:dyDescent="0.25">
      <c r="A325" s="17"/>
      <c r="B325" s="18"/>
      <c r="C325" s="18"/>
      <c r="D325" s="18"/>
      <c r="E325" s="19"/>
      <c r="F325" s="18"/>
      <c r="G325" s="20"/>
      <c r="H325" s="16">
        <f>IF(AND(E325="",G325=""),"",IF(OR(E325="",G325=""),"falta dato",E325*G325))</f>
      </c>
      <c r="I325" s="18"/>
    </row>
    <row r="326" spans="1:9" x14ac:dyDescent="0.25">
      <c r="A326" s="17"/>
      <c r="B326" s="18"/>
      <c r="C326" s="18"/>
      <c r="D326" s="18"/>
      <c r="E326" s="19"/>
      <c r="F326" s="18"/>
      <c r="G326" s="20"/>
      <c r="H326" s="16">
        <f>IF(AND(E326="",G326=""),"",IF(OR(E326="",G326=""),"falta dato",E326*G326))</f>
      </c>
      <c r="I326" s="18"/>
    </row>
    <row r="327" spans="1:9" x14ac:dyDescent="0.25">
      <c r="A327" s="17"/>
      <c r="B327" s="18"/>
      <c r="C327" s="18"/>
      <c r="D327" s="18"/>
      <c r="E327" s="19"/>
      <c r="F327" s="18"/>
      <c r="G327" s="20"/>
      <c r="H327" s="16">
        <f>IF(AND(E327="",G327=""),"",IF(OR(E327="",G327=""),"falta dato",E327*G327))</f>
      </c>
      <c r="I327" s="18"/>
    </row>
    <row r="328" spans="1:9" x14ac:dyDescent="0.25">
      <c r="A328" s="17"/>
      <c r="B328" s="18"/>
      <c r="C328" s="18"/>
      <c r="D328" s="18"/>
      <c r="E328" s="19"/>
      <c r="F328" s="18"/>
      <c r="G328" s="20"/>
      <c r="H328" s="16">
        <f>IF(AND(E328="",G328=""),"",IF(OR(E328="",G328=""),"falta dato",E328*G328))</f>
      </c>
      <c r="I328" s="18"/>
    </row>
    <row r="329" spans="1:9" x14ac:dyDescent="0.25">
      <c r="A329" s="17"/>
      <c r="B329" s="18"/>
      <c r="C329" s="18"/>
      <c r="D329" s="18"/>
      <c r="E329" s="19"/>
      <c r="F329" s="18"/>
      <c r="G329" s="20"/>
      <c r="H329" s="16">
        <f>IF(AND(E329="",G329=""),"",IF(OR(E329="",G329=""),"falta dato",E329*G329))</f>
      </c>
      <c r="I329" s="18"/>
    </row>
    <row r="330" spans="1:9" x14ac:dyDescent="0.25">
      <c r="A330" s="17"/>
      <c r="B330" s="18"/>
      <c r="C330" s="18"/>
      <c r="D330" s="18"/>
      <c r="E330" s="19"/>
      <c r="F330" s="18"/>
      <c r="G330" s="20"/>
      <c r="H330" s="16">
        <f>IF(AND(E330="",G330=""),"",IF(OR(E330="",G330=""),"falta dato",E330*G330))</f>
      </c>
      <c r="I330" s="18"/>
    </row>
    <row r="331" spans="1:9" x14ac:dyDescent="0.25">
      <c r="A331" s="17"/>
      <c r="B331" s="18"/>
      <c r="C331" s="18"/>
      <c r="D331" s="18"/>
      <c r="E331" s="19"/>
      <c r="F331" s="18"/>
      <c r="G331" s="20"/>
      <c r="H331" s="16">
        <f>IF(AND(E331="",G331=""),"",IF(OR(E331="",G331=""),"falta dato",E331*G331))</f>
      </c>
      <c r="I331" s="18"/>
    </row>
    <row r="332" spans="1:9" x14ac:dyDescent="0.25">
      <c r="A332" s="17"/>
      <c r="B332" s="18"/>
      <c r="C332" s="18"/>
      <c r="D332" s="18"/>
      <c r="E332" s="19"/>
      <c r="F332" s="18"/>
      <c r="G332" s="20"/>
      <c r="H332" s="16">
        <f>IF(AND(E332="",G332=""),"",IF(OR(E332="",G332=""),"falta dato",E332*G332))</f>
      </c>
      <c r="I332" s="18"/>
    </row>
    <row r="333" spans="1:9" x14ac:dyDescent="0.25">
      <c r="A333" s="17"/>
      <c r="B333" s="18"/>
      <c r="C333" s="18"/>
      <c r="D333" s="18"/>
      <c r="E333" s="19"/>
      <c r="F333" s="18"/>
      <c r="G333" s="20"/>
      <c r="H333" s="16">
        <f>IF(AND(E333="",G333=""),"",IF(OR(E333="",G333=""),"falta dato",E333*G333))</f>
      </c>
      <c r="I333" s="18"/>
    </row>
    <row r="334" spans="1:9" x14ac:dyDescent="0.25">
      <c r="A334" s="17"/>
      <c r="B334" s="18"/>
      <c r="C334" s="18"/>
      <c r="D334" s="18"/>
      <c r="E334" s="19"/>
      <c r="F334" s="18"/>
      <c r="G334" s="20"/>
      <c r="H334" s="16">
        <f>IF(AND(E334="",G334=""),"",IF(OR(E334="",G334=""),"falta dato",E334*G334))</f>
      </c>
      <c r="I334" s="18"/>
    </row>
    <row r="335" spans="1:9" x14ac:dyDescent="0.25">
      <c r="A335" s="17"/>
      <c r="B335" s="18"/>
      <c r="C335" s="18"/>
      <c r="D335" s="18"/>
      <c r="E335" s="19"/>
      <c r="F335" s="18"/>
      <c r="G335" s="20"/>
      <c r="H335" s="16">
        <f>IF(AND(E335="",G335=""),"",IF(OR(E335="",G335=""),"falta dato",E335*G335))</f>
      </c>
      <c r="I335" s="18"/>
    </row>
    <row r="336" spans="1:9" x14ac:dyDescent="0.25">
      <c r="A336" s="17"/>
      <c r="B336" s="18"/>
      <c r="C336" s="18"/>
      <c r="D336" s="18"/>
      <c r="E336" s="19"/>
      <c r="F336" s="18"/>
      <c r="G336" s="20"/>
      <c r="H336" s="16">
        <f>IF(AND(E336="",G336=""),"",IF(OR(E336="",G336=""),"falta dato",E336*G336))</f>
      </c>
      <c r="I336" s="18"/>
    </row>
    <row r="337" spans="1:9" x14ac:dyDescent="0.25">
      <c r="A337" s="17"/>
      <c r="B337" s="18"/>
      <c r="C337" s="18"/>
      <c r="D337" s="18"/>
      <c r="E337" s="19"/>
      <c r="F337" s="18"/>
      <c r="G337" s="20"/>
      <c r="H337" s="16">
        <f>IF(AND(E337="",G337=""),"",IF(OR(E337="",G337=""),"falta dato",E337*G337))</f>
      </c>
      <c r="I337" s="18"/>
    </row>
    <row r="338" spans="1:9" x14ac:dyDescent="0.25">
      <c r="A338" s="17"/>
      <c r="B338" s="18"/>
      <c r="C338" s="18"/>
      <c r="D338" s="18"/>
      <c r="E338" s="19"/>
      <c r="F338" s="18"/>
      <c r="G338" s="20"/>
      <c r="H338" s="16">
        <f>IF(AND(E338="",G338=""),"",IF(OR(E338="",G338=""),"falta dato",E338*G338))</f>
      </c>
      <c r="I338" s="18"/>
    </row>
    <row r="339" spans="1:9" x14ac:dyDescent="0.25">
      <c r="A339" s="17"/>
      <c r="B339" s="18"/>
      <c r="C339" s="18"/>
      <c r="D339" s="18"/>
      <c r="E339" s="19"/>
      <c r="F339" s="18"/>
      <c r="G339" s="20"/>
      <c r="H339" s="16">
        <f>IF(AND(E339="",G339=""),"",IF(OR(E339="",G339=""),"falta dato",E339*G339))</f>
      </c>
      <c r="I339" s="18"/>
    </row>
    <row r="340" spans="1:9" x14ac:dyDescent="0.25">
      <c r="A340" s="17"/>
      <c r="B340" s="18"/>
      <c r="C340" s="18"/>
      <c r="D340" s="18"/>
      <c r="E340" s="19"/>
      <c r="F340" s="18"/>
      <c r="G340" s="20"/>
      <c r="H340" s="16">
        <f>IF(AND(E340="",G340=""),"",IF(OR(E340="",G340=""),"falta dato",E340*G340))</f>
      </c>
      <c r="I340" s="18"/>
    </row>
    <row r="341" spans="1:9" x14ac:dyDescent="0.25">
      <c r="A341" s="17"/>
      <c r="B341" s="18"/>
      <c r="C341" s="18"/>
      <c r="D341" s="18"/>
      <c r="E341" s="19"/>
      <c r="F341" s="18"/>
      <c r="G341" s="20"/>
      <c r="H341" s="16">
        <f>IF(AND(E341="",G341=""),"",IF(OR(E341="",G341=""),"falta dato",E341*G341))</f>
      </c>
      <c r="I341" s="18"/>
    </row>
    <row r="342" spans="1:9" x14ac:dyDescent="0.25">
      <c r="A342" s="17"/>
      <c r="B342" s="18"/>
      <c r="C342" s="18"/>
      <c r="D342" s="18"/>
      <c r="E342" s="19"/>
      <c r="F342" s="18"/>
      <c r="G342" s="20"/>
      <c r="H342" s="16">
        <f>IF(AND(E342="",G342=""),"",IF(OR(E342="",G342=""),"falta dato",E342*G342))</f>
      </c>
      <c r="I342" s="18"/>
    </row>
    <row r="343" spans="1:9" x14ac:dyDescent="0.25">
      <c r="A343" s="17"/>
      <c r="B343" s="18"/>
      <c r="C343" s="18"/>
      <c r="D343" s="18"/>
      <c r="E343" s="19"/>
      <c r="F343" s="18"/>
      <c r="G343" s="20"/>
      <c r="H343" s="16">
        <f>IF(AND(E343="",G343=""),"",IF(OR(E343="",G343=""),"falta dato",E343*G343))</f>
      </c>
      <c r="I343" s="18"/>
    </row>
    <row r="344" spans="1:9" x14ac:dyDescent="0.25">
      <c r="A344" s="17"/>
      <c r="B344" s="18"/>
      <c r="C344" s="18"/>
      <c r="D344" s="18"/>
      <c r="E344" s="19"/>
      <c r="F344" s="18"/>
      <c r="G344" s="20"/>
      <c r="H344" s="16">
        <f>IF(AND(E344="",G344=""),"",IF(OR(E344="",G344=""),"falta dato",E344*G344))</f>
      </c>
      <c r="I344" s="18"/>
    </row>
    <row r="345" spans="1:9" x14ac:dyDescent="0.25">
      <c r="A345" s="17"/>
      <c r="B345" s="18"/>
      <c r="C345" s="18"/>
      <c r="D345" s="18"/>
      <c r="E345" s="19"/>
      <c r="F345" s="18"/>
      <c r="G345" s="20"/>
      <c r="H345" s="16">
        <f>IF(AND(E345="",G345=""),"",IF(OR(E345="",G345=""),"falta dato",E345*G345))</f>
      </c>
      <c r="I345" s="18"/>
    </row>
    <row r="346" spans="1:9" x14ac:dyDescent="0.25">
      <c r="A346" s="17"/>
      <c r="B346" s="18"/>
      <c r="C346" s="18"/>
      <c r="D346" s="18"/>
      <c r="E346" s="19"/>
      <c r="F346" s="18"/>
      <c r="G346" s="20"/>
      <c r="H346" s="16">
        <f>IF(AND(E346="",G346=""),"",IF(OR(E346="",G346=""),"falta dato",E346*G346))</f>
      </c>
      <c r="I346" s="18"/>
    </row>
    <row r="347" spans="1:9" x14ac:dyDescent="0.25">
      <c r="A347" s="17"/>
      <c r="B347" s="18"/>
      <c r="C347" s="18"/>
      <c r="D347" s="18"/>
      <c r="E347" s="19"/>
      <c r="F347" s="18"/>
      <c r="G347" s="20"/>
      <c r="H347" s="16">
        <f>IF(AND(E347="",G347=""),"",IF(OR(E347="",G347=""),"falta dato",E347*G347))</f>
      </c>
      <c r="I347" s="18"/>
    </row>
    <row r="348" spans="1:9" x14ac:dyDescent="0.25">
      <c r="A348" s="17"/>
      <c r="B348" s="18"/>
      <c r="C348" s="18"/>
      <c r="D348" s="18"/>
      <c r="E348" s="19"/>
      <c r="F348" s="18"/>
      <c r="G348" s="20"/>
      <c r="H348" s="16">
        <f>IF(AND(E348="",G348=""),"",IF(OR(E348="",G348=""),"falta dato",E348*G348))</f>
      </c>
      <c r="I348" s="18"/>
    </row>
    <row r="349" spans="1:9" x14ac:dyDescent="0.25">
      <c r="A349" s="17"/>
      <c r="B349" s="18"/>
      <c r="C349" s="18"/>
      <c r="D349" s="18"/>
      <c r="E349" s="19"/>
      <c r="F349" s="18"/>
      <c r="G349" s="20"/>
      <c r="H349" s="16">
        <f>IF(AND(E349="",G349=""),"",IF(OR(E349="",G349=""),"falta dato",E349*G349))</f>
      </c>
      <c r="I349" s="18"/>
    </row>
    <row r="350" spans="1:9" x14ac:dyDescent="0.25">
      <c r="A350" s="17"/>
      <c r="B350" s="18"/>
      <c r="C350" s="18"/>
      <c r="D350" s="18"/>
      <c r="E350" s="19"/>
      <c r="F350" s="18"/>
      <c r="G350" s="20"/>
      <c r="H350" s="16">
        <f>IF(AND(E350="",G350=""),"",IF(OR(E350="",G350=""),"falta dato",E350*G350))</f>
      </c>
      <c r="I350" s="18"/>
    </row>
    <row r="351" spans="1:9" x14ac:dyDescent="0.25">
      <c r="A351" s="17"/>
      <c r="B351" s="18"/>
      <c r="C351" s="18"/>
      <c r="D351" s="18"/>
      <c r="E351" s="19"/>
      <c r="F351" s="18"/>
      <c r="G351" s="20"/>
      <c r="H351" s="16">
        <f>IF(AND(E351="",G351=""),"",IF(OR(E351="",G351=""),"falta dato",E351*G351))</f>
      </c>
      <c r="I351" s="18"/>
    </row>
    <row r="352" spans="1:9" x14ac:dyDescent="0.25">
      <c r="A352" s="17"/>
      <c r="B352" s="18"/>
      <c r="C352" s="18"/>
      <c r="D352" s="18"/>
      <c r="E352" s="19"/>
      <c r="F352" s="18"/>
      <c r="G352" s="20"/>
      <c r="H352" s="16">
        <f>IF(AND(E352="",G352=""),"",IF(OR(E352="",G352=""),"falta dato",E352*G352))</f>
      </c>
      <c r="I352" s="18"/>
    </row>
    <row r="353" spans="1:9" x14ac:dyDescent="0.25">
      <c r="A353" s="17"/>
      <c r="B353" s="18"/>
      <c r="C353" s="18"/>
      <c r="D353" s="18"/>
      <c r="E353" s="19"/>
      <c r="F353" s="18"/>
      <c r="G353" s="20"/>
      <c r="H353" s="16">
        <f>IF(AND(E353="",G353=""),"",IF(OR(E353="",G353=""),"falta dato",E353*G353))</f>
      </c>
      <c r="I353" s="18"/>
    </row>
    <row r="354" spans="1:9" x14ac:dyDescent="0.25">
      <c r="A354" s="17"/>
      <c r="B354" s="18"/>
      <c r="C354" s="18"/>
      <c r="D354" s="18"/>
      <c r="E354" s="19"/>
      <c r="F354" s="18"/>
      <c r="G354" s="20"/>
      <c r="H354" s="16">
        <f>IF(AND(E354="",G354=""),"",IF(OR(E354="",G354=""),"falta dato",E354*G354))</f>
      </c>
      <c r="I354" s="18"/>
    </row>
    <row r="355" spans="1:9" x14ac:dyDescent="0.25">
      <c r="A355" s="17"/>
      <c r="B355" s="18"/>
      <c r="C355" s="18"/>
      <c r="D355" s="18"/>
      <c r="E355" s="19"/>
      <c r="F355" s="18"/>
      <c r="G355" s="20"/>
      <c r="H355" s="16">
        <f>IF(AND(E355="",G355=""),"",IF(OR(E355="",G355=""),"falta dato",E355*G355))</f>
      </c>
      <c r="I355" s="18"/>
    </row>
    <row r="356" spans="1:9" x14ac:dyDescent="0.25">
      <c r="A356" s="17"/>
      <c r="B356" s="18"/>
      <c r="C356" s="18"/>
      <c r="D356" s="18"/>
      <c r="E356" s="19"/>
      <c r="F356" s="18"/>
      <c r="G356" s="20"/>
      <c r="H356" s="16">
        <f>IF(AND(E356="",G356=""),"",IF(OR(E356="",G356=""),"falta dato",E356*G356))</f>
      </c>
      <c r="I356" s="18"/>
    </row>
    <row r="357" spans="1:9" x14ac:dyDescent="0.25">
      <c r="A357" s="17"/>
      <c r="B357" s="18"/>
      <c r="C357" s="18"/>
      <c r="D357" s="18"/>
      <c r="E357" s="19"/>
      <c r="F357" s="18"/>
      <c r="G357" s="20"/>
      <c r="H357" s="16">
        <f>IF(AND(E357="",G357=""),"",IF(OR(E357="",G357=""),"falta dato",E357*G357))</f>
      </c>
      <c r="I357" s="18"/>
    </row>
    <row r="358" spans="1:9" x14ac:dyDescent="0.25">
      <c r="A358" s="17"/>
      <c r="B358" s="18"/>
      <c r="C358" s="18"/>
      <c r="D358" s="18"/>
      <c r="E358" s="19"/>
      <c r="F358" s="18"/>
      <c r="G358" s="20"/>
      <c r="H358" s="16">
        <f>IF(AND(E358="",G358=""),"",IF(OR(E358="",G358=""),"falta dato",E358*G358))</f>
      </c>
      <c r="I358" s="18"/>
    </row>
    <row r="359" spans="1:9" x14ac:dyDescent="0.25">
      <c r="A359" s="17"/>
      <c r="B359" s="18"/>
      <c r="C359" s="18"/>
      <c r="D359" s="18"/>
      <c r="E359" s="19"/>
      <c r="F359" s="18"/>
      <c r="G359" s="20"/>
      <c r="H359" s="16">
        <f>IF(AND(E359="",G359=""),"",IF(OR(E359="",G359=""),"falta dato",E359*G359))</f>
      </c>
      <c r="I359" s="18"/>
    </row>
    <row r="360" spans="1:9" x14ac:dyDescent="0.25">
      <c r="A360" s="17"/>
      <c r="B360" s="18"/>
      <c r="C360" s="18"/>
      <c r="D360" s="18"/>
      <c r="E360" s="19"/>
      <c r="F360" s="18"/>
      <c r="G360" s="20"/>
      <c r="H360" s="16">
        <f>IF(AND(E360="",G360=""),"",IF(OR(E360="",G360=""),"falta dato",E360*G360))</f>
      </c>
      <c r="I360" s="18"/>
    </row>
    <row r="361" spans="1:9" x14ac:dyDescent="0.25">
      <c r="A361" s="17"/>
      <c r="B361" s="18"/>
      <c r="C361" s="18"/>
      <c r="D361" s="18"/>
      <c r="E361" s="19"/>
      <c r="F361" s="18"/>
      <c r="G361" s="20"/>
      <c r="H361" s="16">
        <f>IF(AND(E361="",G361=""),"",IF(OR(E361="",G361=""),"falta dato",E361*G361))</f>
      </c>
      <c r="I361" s="18"/>
    </row>
    <row r="362" spans="1:9" x14ac:dyDescent="0.25">
      <c r="A362" s="17"/>
      <c r="B362" s="18"/>
      <c r="C362" s="18"/>
      <c r="D362" s="18"/>
      <c r="E362" s="19"/>
      <c r="F362" s="18"/>
      <c r="G362" s="20"/>
      <c r="H362" s="16">
        <f>IF(AND(E362="",G362=""),"",IF(OR(E362="",G362=""),"falta dato",E362*G362))</f>
      </c>
      <c r="I362" s="18"/>
    </row>
    <row r="363" spans="1:9" x14ac:dyDescent="0.25">
      <c r="A363" s="17"/>
      <c r="B363" s="18"/>
      <c r="C363" s="18"/>
      <c r="D363" s="18"/>
      <c r="E363" s="19"/>
      <c r="F363" s="18"/>
      <c r="G363" s="20"/>
      <c r="H363" s="16">
        <f>IF(AND(E363="",G363=""),"",IF(OR(E363="",G363=""),"falta dato",E363*G363))</f>
      </c>
      <c r="I363" s="18"/>
    </row>
    <row r="364" spans="1:9" x14ac:dyDescent="0.25">
      <c r="A364" s="17"/>
      <c r="B364" s="18"/>
      <c r="C364" s="18"/>
      <c r="D364" s="18"/>
      <c r="E364" s="19"/>
      <c r="F364" s="18"/>
      <c r="G364" s="20"/>
      <c r="H364" s="16">
        <f>IF(AND(E364="",G364=""),"",IF(OR(E364="",G364=""),"falta dato",E364*G364))</f>
      </c>
      <c r="I364" s="18"/>
    </row>
    <row r="365" spans="1:9" x14ac:dyDescent="0.25">
      <c r="A365" s="17"/>
      <c r="B365" s="18"/>
      <c r="C365" s="18"/>
      <c r="D365" s="18"/>
      <c r="E365" s="19"/>
      <c r="F365" s="18"/>
      <c r="G365" s="20"/>
      <c r="H365" s="16">
        <f>IF(AND(E365="",G365=""),"",IF(OR(E365="",G365=""),"falta dato",E365*G365))</f>
      </c>
      <c r="I365" s="18"/>
    </row>
    <row r="366" spans="1:9" x14ac:dyDescent="0.25">
      <c r="A366" s="17"/>
      <c r="B366" s="18"/>
      <c r="C366" s="18"/>
      <c r="D366" s="18"/>
      <c r="E366" s="19"/>
      <c r="F366" s="18"/>
      <c r="G366" s="20"/>
      <c r="H366" s="16">
        <f>IF(AND(E366="",G366=""),"",IF(OR(E366="",G366=""),"falta dato",E366*G366))</f>
      </c>
      <c r="I366" s="18"/>
    </row>
    <row r="367" spans="1:9" x14ac:dyDescent="0.25">
      <c r="A367" s="17"/>
      <c r="B367" s="18"/>
      <c r="C367" s="18"/>
      <c r="D367" s="18"/>
      <c r="E367" s="19"/>
      <c r="F367" s="18"/>
      <c r="G367" s="20"/>
      <c r="H367" s="16">
        <f>IF(AND(E367="",G367=""),"",IF(OR(E367="",G367=""),"falta dato",E367*G367))</f>
      </c>
      <c r="I367" s="18"/>
    </row>
    <row r="368" spans="1:9" x14ac:dyDescent="0.25">
      <c r="A368" s="17"/>
      <c r="B368" s="18"/>
      <c r="C368" s="18"/>
      <c r="D368" s="18"/>
      <c r="E368" s="19"/>
      <c r="F368" s="18"/>
      <c r="G368" s="20"/>
      <c r="H368" s="16">
        <f>IF(AND(E368="",G368=""),"",IF(OR(E368="",G368=""),"falta dato",E368*G368))</f>
      </c>
      <c r="I368" s="18"/>
    </row>
    <row r="369" spans="1:9" x14ac:dyDescent="0.25">
      <c r="A369" s="17"/>
      <c r="B369" s="18"/>
      <c r="C369" s="18"/>
      <c r="D369" s="18"/>
      <c r="E369" s="19"/>
      <c r="F369" s="18"/>
      <c r="G369" s="20"/>
      <c r="H369" s="16">
        <f>IF(AND(E369="",G369=""),"",IF(OR(E369="",G369=""),"falta dato",E369*G369))</f>
      </c>
      <c r="I369" s="18"/>
    </row>
    <row r="370" spans="1:9" x14ac:dyDescent="0.25">
      <c r="A370" s="17"/>
      <c r="B370" s="18"/>
      <c r="C370" s="18"/>
      <c r="D370" s="18"/>
      <c r="E370" s="19"/>
      <c r="F370" s="18"/>
      <c r="G370" s="20"/>
      <c r="H370" s="16">
        <f>IF(AND(E370="",G370=""),"",IF(OR(E370="",G370=""),"falta dato",E370*G370))</f>
      </c>
      <c r="I370" s="18"/>
    </row>
    <row r="371" spans="1:9" x14ac:dyDescent="0.25">
      <c r="A371" s="17"/>
      <c r="B371" s="18"/>
      <c r="C371" s="18"/>
      <c r="D371" s="18"/>
      <c r="E371" s="19"/>
      <c r="F371" s="18"/>
      <c r="G371" s="20"/>
      <c r="H371" s="16">
        <f>IF(AND(E371="",G371=""),"",IF(OR(E371="",G371=""),"falta dato",E371*G371))</f>
      </c>
      <c r="I371" s="18"/>
    </row>
    <row r="372" spans="1:9" x14ac:dyDescent="0.25">
      <c r="A372" s="17"/>
      <c r="B372" s="18"/>
      <c r="C372" s="18"/>
      <c r="D372" s="18"/>
      <c r="E372" s="19"/>
      <c r="F372" s="18"/>
      <c r="G372" s="20"/>
      <c r="H372" s="16">
        <f>IF(AND(E372="",G372=""),"",IF(OR(E372="",G372=""),"falta dato",E372*G372))</f>
      </c>
      <c r="I372" s="18"/>
    </row>
    <row r="373" spans="1:9" x14ac:dyDescent="0.25">
      <c r="A373" s="17"/>
      <c r="B373" s="18"/>
      <c r="C373" s="18"/>
      <c r="D373" s="18"/>
      <c r="E373" s="19"/>
      <c r="F373" s="18"/>
      <c r="G373" s="20"/>
      <c r="H373" s="16">
        <f>IF(AND(E373="",G373=""),"",IF(OR(E373="",G373=""),"falta dato",E373*G373))</f>
      </c>
      <c r="I373" s="18"/>
    </row>
    <row r="374" spans="1:9" x14ac:dyDescent="0.25">
      <c r="A374" s="17"/>
      <c r="B374" s="18"/>
      <c r="C374" s="18"/>
      <c r="D374" s="18"/>
      <c r="E374" s="19"/>
      <c r="F374" s="18"/>
      <c r="G374" s="20"/>
      <c r="H374" s="16">
        <f>IF(AND(E374="",G374=""),"",IF(OR(E374="",G374=""),"falta dato",E374*G374))</f>
      </c>
      <c r="I374" s="18"/>
    </row>
    <row r="375" spans="1:9" x14ac:dyDescent="0.25">
      <c r="A375" s="17"/>
      <c r="B375" s="18"/>
      <c r="C375" s="18"/>
      <c r="D375" s="18"/>
      <c r="E375" s="19"/>
      <c r="F375" s="18"/>
      <c r="G375" s="20"/>
      <c r="H375" s="16">
        <f>IF(AND(E375="",G375=""),"",IF(OR(E375="",G375=""),"falta dato",E375*G375))</f>
      </c>
      <c r="I375" s="18"/>
    </row>
    <row r="376" spans="1:9" x14ac:dyDescent="0.25">
      <c r="A376" s="17"/>
      <c r="B376" s="18"/>
      <c r="C376" s="18"/>
      <c r="D376" s="18"/>
      <c r="E376" s="19"/>
      <c r="F376" s="18"/>
      <c r="G376" s="20"/>
      <c r="H376" s="16">
        <f>IF(AND(E376="",G376=""),"",IF(OR(E376="",G376=""),"falta dato",E376*G376))</f>
      </c>
      <c r="I376" s="18"/>
    </row>
    <row r="377" spans="1:9" x14ac:dyDescent="0.25">
      <c r="A377" s="17"/>
      <c r="B377" s="18"/>
      <c r="C377" s="18"/>
      <c r="D377" s="18"/>
      <c r="E377" s="19"/>
      <c r="F377" s="18"/>
      <c r="G377" s="20"/>
      <c r="H377" s="16">
        <f>IF(AND(E377="",G377=""),"",IF(OR(E377="",G377=""),"falta dato",E377*G377))</f>
      </c>
      <c r="I377" s="18"/>
    </row>
    <row r="378" spans="1:9" x14ac:dyDescent="0.25">
      <c r="A378" s="17"/>
      <c r="B378" s="18"/>
      <c r="C378" s="18"/>
      <c r="D378" s="18"/>
      <c r="E378" s="19"/>
      <c r="F378" s="18"/>
      <c r="G378" s="20"/>
      <c r="H378" s="16">
        <f>IF(AND(E378="",G378=""),"",IF(OR(E378="",G378=""),"falta dato",E378*G378))</f>
      </c>
      <c r="I378" s="18"/>
    </row>
    <row r="379" spans="1:9" x14ac:dyDescent="0.25">
      <c r="A379" s="17"/>
      <c r="B379" s="18"/>
      <c r="C379" s="18"/>
      <c r="D379" s="18"/>
      <c r="E379" s="19"/>
      <c r="F379" s="18"/>
      <c r="G379" s="20"/>
      <c r="H379" s="16">
        <f>IF(AND(E379="",G379=""),"",IF(OR(E379="",G379=""),"falta dato",E379*G379))</f>
      </c>
      <c r="I379" s="18"/>
    </row>
    <row r="380" spans="1:9" x14ac:dyDescent="0.25">
      <c r="A380" s="17"/>
      <c r="B380" s="18"/>
      <c r="C380" s="18"/>
      <c r="D380" s="18"/>
      <c r="E380" s="19"/>
      <c r="F380" s="18"/>
      <c r="G380" s="20"/>
      <c r="H380" s="16">
        <f>IF(AND(E380="",G380=""),"",IF(OR(E380="",G380=""),"falta dato",E380*G380))</f>
      </c>
      <c r="I380" s="18"/>
    </row>
    <row r="381" spans="1:9" x14ac:dyDescent="0.25">
      <c r="A381" s="17"/>
      <c r="B381" s="18"/>
      <c r="C381" s="18"/>
      <c r="D381" s="18"/>
      <c r="E381" s="19"/>
      <c r="F381" s="18"/>
      <c r="G381" s="20"/>
      <c r="H381" s="16">
        <f>IF(AND(E381="",G381=""),"",IF(OR(E381="",G381=""),"falta dato",E381*G381))</f>
      </c>
      <c r="I381" s="18"/>
    </row>
    <row r="382" spans="1:9" x14ac:dyDescent="0.25">
      <c r="A382" s="17"/>
      <c r="B382" s="18"/>
      <c r="C382" s="18"/>
      <c r="D382" s="18"/>
      <c r="E382" s="19"/>
      <c r="F382" s="18"/>
      <c r="G382" s="20"/>
      <c r="H382" s="16">
        <f>IF(AND(E382="",G382=""),"",IF(OR(E382="",G382=""),"falta dato",E382*G382))</f>
      </c>
      <c r="I382" s="18"/>
    </row>
    <row r="383" spans="1:9" x14ac:dyDescent="0.25">
      <c r="A383" s="17"/>
      <c r="B383" s="18"/>
      <c r="C383" s="18"/>
      <c r="D383" s="18"/>
      <c r="E383" s="19"/>
      <c r="F383" s="18"/>
      <c r="G383" s="20"/>
      <c r="H383" s="16">
        <f>IF(AND(E383="",G383=""),"",IF(OR(E383="",G383=""),"falta dato",E383*G383))</f>
      </c>
      <c r="I383" s="18"/>
    </row>
    <row r="384" spans="1:9" x14ac:dyDescent="0.25">
      <c r="A384" s="17"/>
      <c r="B384" s="18"/>
      <c r="C384" s="18"/>
      <c r="D384" s="18"/>
      <c r="E384" s="19"/>
      <c r="F384" s="18"/>
      <c r="G384" s="20"/>
      <c r="H384" s="16">
        <f>IF(AND(E384="",G384=""),"",IF(OR(E384="",G384=""),"falta dato",E384*G384))</f>
      </c>
      <c r="I384" s="18"/>
    </row>
    <row r="385" spans="1:9" x14ac:dyDescent="0.25">
      <c r="A385" s="17"/>
      <c r="B385" s="18"/>
      <c r="C385" s="18"/>
      <c r="D385" s="18"/>
      <c r="E385" s="19"/>
      <c r="F385" s="18"/>
      <c r="G385" s="20"/>
      <c r="H385" s="16">
        <f>IF(AND(E385="",G385=""),"",IF(OR(E385="",G385=""),"falta dato",E385*G385))</f>
      </c>
      <c r="I385" s="18"/>
    </row>
    <row r="386" spans="1:9" x14ac:dyDescent="0.25">
      <c r="A386" s="17"/>
      <c r="B386" s="18"/>
      <c r="C386" s="18"/>
      <c r="D386" s="18"/>
      <c r="E386" s="19"/>
      <c r="F386" s="18"/>
      <c r="G386" s="20"/>
      <c r="H386" s="16">
        <f>IF(AND(E386="",G386=""),"",IF(OR(E386="",G386=""),"falta dato",E386*G386))</f>
      </c>
      <c r="I386" s="18"/>
    </row>
    <row r="387" spans="1:9" x14ac:dyDescent="0.25">
      <c r="A387" s="17"/>
      <c r="B387" s="18"/>
      <c r="C387" s="18"/>
      <c r="D387" s="18"/>
      <c r="E387" s="19"/>
      <c r="F387" s="18"/>
      <c r="G387" s="20"/>
      <c r="H387" s="16">
        <f>IF(AND(E387="",G387=""),"",IF(OR(E387="",G387=""),"falta dato",E387*G387))</f>
      </c>
      <c r="I387" s="18"/>
    </row>
    <row r="388" spans="1:9" x14ac:dyDescent="0.25">
      <c r="A388" s="17"/>
      <c r="B388" s="18"/>
      <c r="C388" s="18"/>
      <c r="D388" s="18"/>
      <c r="E388" s="19"/>
      <c r="F388" s="18"/>
      <c r="G388" s="20"/>
      <c r="H388" s="16">
        <f>IF(AND(E388="",G388=""),"",IF(OR(E388="",G388=""),"falta dato",E388*G388))</f>
      </c>
      <c r="I388" s="18"/>
    </row>
    <row r="389" spans="1:9" x14ac:dyDescent="0.25">
      <c r="A389" s="17"/>
      <c r="B389" s="18"/>
      <c r="C389" s="18"/>
      <c r="D389" s="18"/>
      <c r="E389" s="19"/>
      <c r="F389" s="18"/>
      <c r="G389" s="20"/>
      <c r="H389" s="16">
        <f>IF(AND(E389="",G389=""),"",IF(OR(E389="",G389=""),"falta dato",E389*G389))</f>
      </c>
      <c r="I389" s="18"/>
    </row>
    <row r="390" spans="1:9" x14ac:dyDescent="0.25">
      <c r="A390" s="17"/>
      <c r="B390" s="18"/>
      <c r="C390" s="18"/>
      <c r="D390" s="18"/>
      <c r="E390" s="19"/>
      <c r="F390" s="18"/>
      <c r="G390" s="20"/>
      <c r="H390" s="16">
        <f>IF(AND(E390="",G390=""),"",IF(OR(E390="",G390=""),"falta dato",E390*G390))</f>
      </c>
      <c r="I390" s="18"/>
    </row>
    <row r="391" spans="1:9" x14ac:dyDescent="0.25">
      <c r="A391" s="17"/>
      <c r="B391" s="18"/>
      <c r="C391" s="18"/>
      <c r="D391" s="18"/>
      <c r="E391" s="19"/>
      <c r="F391" s="18"/>
      <c r="G391" s="20"/>
      <c r="H391" s="16">
        <f>IF(AND(E391="",G391=""),"",IF(OR(E391="",G391=""),"falta dato",E391*G391))</f>
      </c>
      <c r="I391" s="18"/>
    </row>
    <row r="392" spans="1:9" x14ac:dyDescent="0.25">
      <c r="A392" s="17"/>
      <c r="B392" s="18"/>
      <c r="C392" s="18"/>
      <c r="D392" s="18"/>
      <c r="E392" s="19"/>
      <c r="F392" s="18"/>
      <c r="G392" s="20"/>
      <c r="H392" s="16">
        <f>IF(AND(E392="",G392=""),"",IF(OR(E392="",G392=""),"falta dato",E392*G392))</f>
      </c>
      <c r="I392" s="18"/>
    </row>
    <row r="393" spans="1:9" x14ac:dyDescent="0.25">
      <c r="A393" s="17"/>
      <c r="B393" s="18"/>
      <c r="C393" s="18"/>
      <c r="D393" s="18"/>
      <c r="E393" s="19"/>
      <c r="F393" s="18"/>
      <c r="G393" s="20"/>
      <c r="H393" s="16">
        <f>IF(AND(E393="",G393=""),"",IF(OR(E393="",G393=""),"falta dato",E393*G393))</f>
      </c>
      <c r="I393" s="18"/>
    </row>
    <row r="394" spans="1:9" x14ac:dyDescent="0.25">
      <c r="A394" s="17"/>
      <c r="B394" s="18"/>
      <c r="C394" s="18"/>
      <c r="D394" s="18"/>
      <c r="E394" s="19"/>
      <c r="F394" s="18"/>
      <c r="G394" s="20"/>
      <c r="H394" s="16">
        <f>IF(AND(E394="",G394=""),"",IF(OR(E394="",G394=""),"falta dato",E394*G394))</f>
      </c>
      <c r="I394" s="18"/>
    </row>
    <row r="395" spans="1:9" x14ac:dyDescent="0.25">
      <c r="A395" s="17"/>
      <c r="B395" s="18"/>
      <c r="C395" s="18"/>
      <c r="D395" s="18"/>
      <c r="E395" s="19"/>
      <c r="F395" s="18"/>
      <c r="G395" s="20"/>
      <c r="H395" s="16">
        <f>IF(AND(E395="",G395=""),"",IF(OR(E395="",G395=""),"falta dato",E395*G395))</f>
      </c>
      <c r="I395" s="18"/>
    </row>
    <row r="396" spans="1:9" x14ac:dyDescent="0.25">
      <c r="A396" s="17"/>
      <c r="B396" s="18"/>
      <c r="C396" s="18"/>
      <c r="D396" s="18"/>
      <c r="E396" s="19"/>
      <c r="F396" s="18"/>
      <c r="G396" s="20"/>
      <c r="H396" s="16">
        <f>IF(AND(E396="",G396=""),"",IF(OR(E396="",G396=""),"falta dato",E396*G396))</f>
      </c>
      <c r="I396" s="18"/>
    </row>
    <row r="397" spans="1:9" x14ac:dyDescent="0.25">
      <c r="A397" s="17"/>
      <c r="B397" s="18"/>
      <c r="C397" s="18"/>
      <c r="D397" s="18"/>
      <c r="E397" s="19"/>
      <c r="F397" s="18"/>
      <c r="G397" s="20"/>
      <c r="H397" s="16">
        <f>IF(AND(E397="",G397=""),"",IF(OR(E397="",G397=""),"falta dato",E397*G397))</f>
      </c>
      <c r="I397" s="18"/>
    </row>
    <row r="398" spans="1:9" x14ac:dyDescent="0.25">
      <c r="A398" s="17"/>
      <c r="B398" s="18"/>
      <c r="C398" s="18"/>
      <c r="D398" s="18"/>
      <c r="E398" s="19"/>
      <c r="F398" s="18"/>
      <c r="G398" s="20"/>
      <c r="H398" s="16">
        <f>IF(AND(E398="",G398=""),"",IF(OR(E398="",G398=""),"falta dato",E398*G398))</f>
      </c>
      <c r="I398" s="18"/>
    </row>
    <row r="399" spans="1:9" x14ac:dyDescent="0.25">
      <c r="A399" s="17"/>
      <c r="B399" s="18"/>
      <c r="C399" s="18"/>
      <c r="D399" s="18"/>
      <c r="E399" s="19"/>
      <c r="F399" s="18"/>
      <c r="G399" s="20"/>
      <c r="H399" s="16">
        <f>IF(AND(E399="",G399=""),"",IF(OR(E399="",G399=""),"falta dato",E399*G399))</f>
      </c>
      <c r="I399" s="18"/>
    </row>
    <row r="400" spans="1:9" x14ac:dyDescent="0.25">
      <c r="A400" s="17"/>
      <c r="B400" s="18"/>
      <c r="C400" s="18"/>
      <c r="D400" s="18"/>
      <c r="E400" s="19"/>
      <c r="F400" s="18"/>
      <c r="G400" s="20"/>
      <c r="H400" s="16">
        <f>IF(AND(E400="",G400=""),"",IF(OR(E400="",G400=""),"falta dato",E400*G400))</f>
      </c>
      <c r="I400" s="18"/>
    </row>
    <row r="401" spans="1:9" x14ac:dyDescent="0.25">
      <c r="A401" s="17"/>
      <c r="B401" s="18"/>
      <c r="C401" s="18"/>
      <c r="D401" s="18"/>
      <c r="E401" s="19"/>
      <c r="F401" s="18"/>
      <c r="G401" s="20"/>
      <c r="H401" s="16">
        <f>IF(AND(E401="",G401=""),"",IF(OR(E401="",G401=""),"falta dato",E401*G401))</f>
      </c>
      <c r="I401" s="18"/>
    </row>
    <row r="402" spans="1:9" x14ac:dyDescent="0.25">
      <c r="A402" s="17"/>
      <c r="B402" s="18"/>
      <c r="C402" s="18"/>
      <c r="D402" s="18"/>
      <c r="E402" s="19"/>
      <c r="F402" s="18"/>
      <c r="G402" s="20"/>
      <c r="H402" s="16">
        <f>IF(AND(E402="",G402=""),"",IF(OR(E402="",G402=""),"falta dato",E402*G402))</f>
      </c>
      <c r="I402" s="18"/>
    </row>
    <row r="403" spans="1:9" x14ac:dyDescent="0.25">
      <c r="A403" s="17"/>
      <c r="B403" s="18"/>
      <c r="C403" s="18"/>
      <c r="D403" s="18"/>
      <c r="E403" s="19"/>
      <c r="F403" s="18"/>
      <c r="G403" s="20"/>
      <c r="H403" s="16">
        <f>IF(AND(E403="",G403=""),"",IF(OR(E403="",G403=""),"falta dato",E403*G403))</f>
      </c>
      <c r="I403" s="18"/>
    </row>
    <row r="404" spans="1:9" x14ac:dyDescent="0.25">
      <c r="A404" s="17"/>
      <c r="B404" s="18"/>
      <c r="C404" s="18"/>
      <c r="D404" s="18"/>
      <c r="E404" s="19"/>
      <c r="F404" s="18"/>
      <c r="G404" s="20"/>
      <c r="H404" s="16">
        <f>IF(AND(E404="",G404=""),"",IF(OR(E404="",G404=""),"falta dato",E404*G404))</f>
      </c>
      <c r="I404" s="18"/>
    </row>
    <row r="405" spans="1:9" x14ac:dyDescent="0.25">
      <c r="A405" s="17"/>
      <c r="B405" s="18"/>
      <c r="C405" s="18"/>
      <c r="D405" s="18"/>
      <c r="E405" s="19"/>
      <c r="F405" s="18"/>
      <c r="G405" s="20"/>
      <c r="H405" s="16">
        <f>IF(AND(E405="",G405=""),"",IF(OR(E405="",G405=""),"falta dato",E405*G405))</f>
      </c>
      <c r="I405" s="18"/>
    </row>
    <row r="406" spans="1:9" x14ac:dyDescent="0.25">
      <c r="A406" s="17"/>
      <c r="B406" s="18"/>
      <c r="C406" s="18"/>
      <c r="D406" s="18"/>
      <c r="E406" s="19"/>
      <c r="F406" s="18"/>
      <c r="G406" s="20"/>
      <c r="H406" s="16">
        <f>IF(AND(E406="",G406=""),"",IF(OR(E406="",G406=""),"falta dato",E406*G406))</f>
      </c>
      <c r="I406" s="18"/>
    </row>
    <row r="407" spans="1:9" x14ac:dyDescent="0.25">
      <c r="A407" s="17"/>
      <c r="B407" s="18"/>
      <c r="C407" s="18"/>
      <c r="D407" s="18"/>
      <c r="E407" s="19"/>
      <c r="F407" s="18"/>
      <c r="G407" s="20"/>
      <c r="H407" s="16">
        <f>IF(AND(E407="",G407=""),"",IF(OR(E407="",G407=""),"falta dato",E407*G407))</f>
      </c>
      <c r="I407" s="18"/>
    </row>
    <row r="408" spans="1:9" x14ac:dyDescent="0.25">
      <c r="A408" s="17"/>
      <c r="B408" s="18"/>
      <c r="C408" s="18"/>
      <c r="D408" s="18"/>
      <c r="E408" s="19"/>
      <c r="F408" s="18"/>
      <c r="G408" s="20"/>
      <c r="H408" s="16">
        <f>IF(AND(E408="",G408=""),"",IF(OR(E408="",G408=""),"falta dato",E408*G408))</f>
      </c>
      <c r="I408" s="18"/>
    </row>
    <row r="409" spans="1:9" x14ac:dyDescent="0.25">
      <c r="A409" s="17"/>
      <c r="B409" s="18"/>
      <c r="C409" s="18"/>
      <c r="D409" s="18"/>
      <c r="E409" s="19"/>
      <c r="F409" s="18"/>
      <c r="G409" s="20"/>
      <c r="H409" s="16">
        <f>IF(AND(E409="",G409=""),"",IF(OR(E409="",G409=""),"falta dato",E409*G409))</f>
      </c>
      <c r="I409" s="18"/>
    </row>
    <row r="410" spans="1:9" x14ac:dyDescent="0.25">
      <c r="A410" s="17"/>
      <c r="B410" s="18"/>
      <c r="C410" s="18"/>
      <c r="D410" s="18"/>
      <c r="E410" s="19"/>
      <c r="F410" s="18"/>
      <c r="G410" s="20"/>
      <c r="H410" s="16">
        <f>IF(AND(E410="",G410=""),"",IF(OR(E410="",G410=""),"falta dato",E410*G410))</f>
      </c>
      <c r="I410" s="18"/>
    </row>
    <row r="411" spans="1:9" x14ac:dyDescent="0.25">
      <c r="A411" s="17"/>
      <c r="B411" s="18"/>
      <c r="C411" s="18"/>
      <c r="D411" s="18"/>
      <c r="E411" s="19"/>
      <c r="F411" s="18"/>
      <c r="G411" s="20"/>
      <c r="H411" s="16">
        <f>IF(AND(E411="",G411=""),"",IF(OR(E411="",G411=""),"falta dato",E411*G411))</f>
      </c>
      <c r="I411" s="18"/>
    </row>
    <row r="412" spans="1:9" x14ac:dyDescent="0.25">
      <c r="A412" s="17"/>
      <c r="B412" s="18"/>
      <c r="C412" s="18"/>
      <c r="D412" s="18"/>
      <c r="E412" s="19"/>
      <c r="F412" s="18"/>
      <c r="G412" s="20"/>
      <c r="H412" s="16">
        <f>IF(AND(E412="",G412=""),"",IF(OR(E412="",G412=""),"falta dato",E412*G412))</f>
      </c>
      <c r="I412" s="18"/>
    </row>
    <row r="413" spans="1:9" x14ac:dyDescent="0.25">
      <c r="A413" s="17"/>
      <c r="B413" s="18"/>
      <c r="C413" s="18"/>
      <c r="D413" s="18"/>
      <c r="E413" s="19"/>
      <c r="F413" s="18"/>
      <c r="G413" s="20"/>
      <c r="H413" s="16">
        <f>IF(AND(E413="",G413=""),"",IF(OR(E413="",G413=""),"falta dato",E413*G413))</f>
      </c>
      <c r="I413" s="18"/>
    </row>
    <row r="414" spans="1:9" x14ac:dyDescent="0.25">
      <c r="A414" s="17"/>
      <c r="B414" s="18"/>
      <c r="C414" s="18"/>
      <c r="D414" s="18"/>
      <c r="E414" s="19"/>
      <c r="F414" s="18"/>
      <c r="G414" s="20"/>
      <c r="H414" s="16">
        <f>IF(AND(E414="",G414=""),"",IF(OR(E414="",G414=""),"falta dato",E414*G414))</f>
      </c>
      <c r="I414" s="18"/>
    </row>
    <row r="415" spans="1:9" x14ac:dyDescent="0.25">
      <c r="A415" s="17"/>
      <c r="B415" s="18"/>
      <c r="C415" s="18"/>
      <c r="D415" s="18"/>
      <c r="E415" s="19"/>
      <c r="F415" s="18"/>
      <c r="G415" s="20"/>
      <c r="H415" s="16">
        <f>IF(AND(E415="",G415=""),"",IF(OR(E415="",G415=""),"falta dato",E415*G415))</f>
      </c>
      <c r="I415" s="18"/>
    </row>
    <row r="416" spans="1:9" x14ac:dyDescent="0.25">
      <c r="A416" s="17"/>
      <c r="B416" s="18"/>
      <c r="C416" s="18"/>
      <c r="D416" s="18"/>
      <c r="E416" s="19"/>
      <c r="F416" s="18"/>
      <c r="G416" s="20"/>
      <c r="H416" s="16">
        <f>IF(AND(E416="",G416=""),"",IF(OR(E416="",G416=""),"falta dato",E416*G416))</f>
      </c>
      <c r="I416" s="18"/>
    </row>
    <row r="417" spans="1:9" x14ac:dyDescent="0.25">
      <c r="A417" s="17"/>
      <c r="B417" s="18"/>
      <c r="C417" s="18"/>
      <c r="D417" s="18"/>
      <c r="E417" s="19"/>
      <c r="F417" s="18"/>
      <c r="G417" s="20"/>
      <c r="H417" s="16">
        <f>IF(AND(E417="",G417=""),"",IF(OR(E417="",G417=""),"falta dato",E417*G417))</f>
      </c>
      <c r="I417" s="18"/>
    </row>
    <row r="418" spans="1:9" x14ac:dyDescent="0.25">
      <c r="A418" s="17"/>
      <c r="B418" s="18"/>
      <c r="C418" s="18"/>
      <c r="D418" s="18"/>
      <c r="E418" s="19"/>
      <c r="F418" s="18"/>
      <c r="G418" s="20"/>
      <c r="H418" s="16">
        <f>IF(AND(E418="",G418=""),"",IF(OR(E418="",G418=""),"falta dato",E418*G418))</f>
      </c>
      <c r="I418" s="18"/>
    </row>
    <row r="419" spans="1:9" x14ac:dyDescent="0.25">
      <c r="A419" s="17"/>
      <c r="B419" s="18"/>
      <c r="C419" s="18"/>
      <c r="D419" s="18"/>
      <c r="E419" s="19"/>
      <c r="F419" s="18"/>
      <c r="G419" s="20"/>
      <c r="H419" s="16">
        <f>IF(AND(E419="",G419=""),"",IF(OR(E419="",G419=""),"falta dato",E419*G419))</f>
      </c>
      <c r="I419" s="18"/>
    </row>
    <row r="420" spans="1:9" x14ac:dyDescent="0.25">
      <c r="A420" s="17"/>
      <c r="B420" s="18"/>
      <c r="C420" s="18"/>
      <c r="D420" s="18"/>
      <c r="E420" s="19"/>
      <c r="F420" s="18"/>
      <c r="G420" s="20"/>
      <c r="H420" s="16">
        <f>IF(AND(E420="",G420=""),"",IF(OR(E420="",G420=""),"falta dato",E420*G420))</f>
      </c>
      <c r="I420" s="18"/>
    </row>
    <row r="421" spans="1:9" x14ac:dyDescent="0.25">
      <c r="A421" s="17"/>
      <c r="B421" s="18"/>
      <c r="C421" s="18"/>
      <c r="D421" s="18"/>
      <c r="E421" s="19"/>
      <c r="F421" s="18"/>
      <c r="G421" s="20"/>
      <c r="H421" s="16">
        <f>IF(AND(E421="",G421=""),"",IF(OR(E421="",G421=""),"falta dato",E421*G421))</f>
      </c>
      <c r="I421" s="18"/>
    </row>
    <row r="422" spans="1:9" x14ac:dyDescent="0.25">
      <c r="A422" s="17"/>
      <c r="B422" s="18"/>
      <c r="C422" s="18"/>
      <c r="D422" s="18"/>
      <c r="E422" s="19"/>
      <c r="F422" s="18"/>
      <c r="G422" s="20"/>
      <c r="H422" s="16">
        <f>IF(AND(E422="",G422=""),"",IF(OR(E422="",G422=""),"falta dato",E422*G422))</f>
      </c>
      <c r="I422" s="18"/>
    </row>
    <row r="423" spans="1:9" x14ac:dyDescent="0.25">
      <c r="A423" s="17"/>
      <c r="B423" s="18"/>
      <c r="C423" s="18"/>
      <c r="D423" s="18"/>
      <c r="E423" s="19"/>
      <c r="F423" s="18"/>
      <c r="G423" s="20"/>
      <c r="H423" s="16">
        <f>IF(AND(E423="",G423=""),"",IF(OR(E423="",G423=""),"falta dato",E423*G423))</f>
      </c>
      <c r="I423" s="18"/>
    </row>
    <row r="424" spans="1:9" x14ac:dyDescent="0.25">
      <c r="A424" s="17"/>
      <c r="B424" s="18"/>
      <c r="C424" s="18"/>
      <c r="D424" s="18"/>
      <c r="E424" s="19"/>
      <c r="F424" s="18"/>
      <c r="G424" s="20"/>
      <c r="H424" s="16">
        <f>IF(AND(E424="",G424=""),"",IF(OR(E424="",G424=""),"falta dato",E424*G424))</f>
      </c>
      <c r="I424" s="18"/>
    </row>
    <row r="425" spans="1:9" x14ac:dyDescent="0.25">
      <c r="A425" s="17"/>
      <c r="B425" s="18"/>
      <c r="C425" s="18"/>
      <c r="D425" s="18"/>
      <c r="E425" s="19"/>
      <c r="F425" s="18"/>
      <c r="G425" s="20"/>
      <c r="H425" s="16">
        <f>IF(AND(E425="",G425=""),"",IF(OR(E425="",G425=""),"falta dato",E425*G425))</f>
      </c>
      <c r="I425" s="18"/>
    </row>
    <row r="426" spans="1:9" x14ac:dyDescent="0.25">
      <c r="A426" s="17"/>
      <c r="B426" s="18"/>
      <c r="C426" s="18"/>
      <c r="D426" s="18"/>
      <c r="E426" s="19"/>
      <c r="F426" s="18"/>
      <c r="G426" s="20"/>
      <c r="H426" s="16">
        <f>IF(AND(E426="",G426=""),"",IF(OR(E426="",G426=""),"falta dato",E426*G426))</f>
      </c>
      <c r="I426" s="18"/>
    </row>
    <row r="427" spans="1:9" x14ac:dyDescent="0.25">
      <c r="A427" s="17"/>
      <c r="B427" s="18"/>
      <c r="C427" s="18"/>
      <c r="D427" s="18"/>
      <c r="E427" s="19"/>
      <c r="F427" s="18"/>
      <c r="G427" s="20"/>
      <c r="H427" s="16">
        <f>IF(AND(E427="",G427=""),"",IF(OR(E427="",G427=""),"falta dato",E427*G427))</f>
      </c>
      <c r="I427" s="18"/>
    </row>
    <row r="428" spans="1:9" x14ac:dyDescent="0.25">
      <c r="A428" s="17"/>
      <c r="B428" s="18"/>
      <c r="C428" s="18"/>
      <c r="D428" s="18"/>
      <c r="E428" s="19"/>
      <c r="F428" s="18"/>
      <c r="G428" s="20"/>
      <c r="H428" s="16">
        <f>IF(AND(E428="",G428=""),"",IF(OR(E428="",G428=""),"falta dato",E428*G428))</f>
      </c>
      <c r="I428" s="18"/>
    </row>
    <row r="429" spans="1:9" x14ac:dyDescent="0.25">
      <c r="A429" s="17"/>
      <c r="B429" s="18"/>
      <c r="C429" s="18"/>
      <c r="D429" s="18"/>
      <c r="E429" s="19"/>
      <c r="F429" s="18"/>
      <c r="G429" s="20"/>
      <c r="H429" s="16">
        <f>IF(AND(E429="",G429=""),"",IF(OR(E429="",G429=""),"falta dato",E429*G429))</f>
      </c>
      <c r="I429" s="18"/>
    </row>
    <row r="430" spans="1:9" x14ac:dyDescent="0.25">
      <c r="A430" s="17"/>
      <c r="B430" s="18"/>
      <c r="C430" s="18"/>
      <c r="D430" s="18"/>
      <c r="E430" s="19"/>
      <c r="F430" s="18"/>
      <c r="G430" s="20"/>
      <c r="H430" s="16">
        <f>IF(AND(E430="",G430=""),"",IF(OR(E430="",G430=""),"falta dato",E430*G430))</f>
      </c>
      <c r="I430" s="18"/>
    </row>
    <row r="431" spans="1:9" x14ac:dyDescent="0.25">
      <c r="A431" s="17"/>
      <c r="B431" s="18"/>
      <c r="C431" s="18"/>
      <c r="D431" s="18"/>
      <c r="E431" s="19"/>
      <c r="F431" s="18"/>
      <c r="G431" s="20"/>
      <c r="H431" s="16">
        <f>IF(AND(E431="",G431=""),"",IF(OR(E431="",G431=""),"falta dato",E431*G431))</f>
      </c>
      <c r="I431" s="18"/>
    </row>
    <row r="432" spans="1:9" x14ac:dyDescent="0.25">
      <c r="A432" s="17"/>
      <c r="B432" s="18"/>
      <c r="C432" s="18"/>
      <c r="D432" s="18"/>
      <c r="E432" s="19"/>
      <c r="F432" s="18"/>
      <c r="G432" s="20"/>
      <c r="H432" s="16">
        <f>IF(AND(E432="",G432=""),"",IF(OR(E432="",G432=""),"falta dato",E432*G432))</f>
      </c>
      <c r="I432" s="18"/>
    </row>
    <row r="433" spans="1:9" x14ac:dyDescent="0.25">
      <c r="A433" s="17"/>
      <c r="B433" s="18"/>
      <c r="C433" s="18"/>
      <c r="D433" s="18"/>
      <c r="E433" s="19"/>
      <c r="F433" s="18"/>
      <c r="G433" s="20"/>
      <c r="H433" s="16">
        <f>IF(AND(E433="",G433=""),"",IF(OR(E433="",G433=""),"falta dato",E433*G433))</f>
      </c>
      <c r="I433" s="18"/>
    </row>
    <row r="434" spans="1:9" x14ac:dyDescent="0.25">
      <c r="A434" s="17"/>
      <c r="B434" s="18"/>
      <c r="C434" s="18"/>
      <c r="D434" s="18"/>
      <c r="E434" s="19"/>
      <c r="F434" s="18"/>
      <c r="G434" s="20"/>
      <c r="H434" s="16">
        <f>IF(AND(E434="",G434=""),"",IF(OR(E434="",G434=""),"falta dato",E434*G434))</f>
      </c>
      <c r="I434" s="18"/>
    </row>
    <row r="435" spans="1:9" x14ac:dyDescent="0.25">
      <c r="A435" s="17"/>
      <c r="B435" s="18"/>
      <c r="C435" s="18"/>
      <c r="D435" s="18"/>
      <c r="E435" s="19"/>
      <c r="F435" s="18"/>
      <c r="G435" s="20"/>
      <c r="H435" s="16">
        <f>IF(AND(E435="",G435=""),"",IF(OR(E435="",G435=""),"falta dato",E435*G435))</f>
      </c>
      <c r="I435" s="18"/>
    </row>
    <row r="436" spans="1:9" x14ac:dyDescent="0.25">
      <c r="A436" s="17"/>
      <c r="B436" s="18"/>
      <c r="C436" s="18"/>
      <c r="D436" s="18"/>
      <c r="E436" s="19"/>
      <c r="F436" s="18"/>
      <c r="G436" s="20"/>
      <c r="H436" s="16">
        <f>IF(AND(E436="",G436=""),"",IF(OR(E436="",G436=""),"falta dato",E436*G436))</f>
      </c>
      <c r="I436" s="18"/>
    </row>
    <row r="437" spans="1:9" x14ac:dyDescent="0.25">
      <c r="A437" s="17"/>
      <c r="B437" s="18"/>
      <c r="C437" s="18"/>
      <c r="D437" s="18"/>
      <c r="E437" s="19"/>
      <c r="F437" s="18"/>
      <c r="G437" s="20"/>
      <c r="H437" s="16">
        <f>IF(AND(E437="",G437=""),"",IF(OR(E437="",G437=""),"falta dato",E437*G437))</f>
      </c>
      <c r="I437" s="18"/>
    </row>
    <row r="438" spans="1:9" x14ac:dyDescent="0.25">
      <c r="A438" s="17"/>
      <c r="B438" s="18"/>
      <c r="C438" s="18"/>
      <c r="D438" s="18"/>
      <c r="E438" s="19"/>
      <c r="F438" s="18"/>
      <c r="G438" s="20"/>
      <c r="H438" s="16">
        <f>IF(AND(E438="",G438=""),"",IF(OR(E438="",G438=""),"falta dato",E438*G438))</f>
      </c>
      <c r="I438" s="18"/>
    </row>
    <row r="439" spans="1:9" x14ac:dyDescent="0.25">
      <c r="A439" s="17"/>
      <c r="B439" s="18"/>
      <c r="C439" s="18"/>
      <c r="D439" s="18"/>
      <c r="E439" s="19"/>
      <c r="F439" s="18"/>
      <c r="G439" s="20"/>
      <c r="H439" s="16">
        <f>IF(AND(E439="",G439=""),"",IF(OR(E439="",G439=""),"falta dato",E439*G439))</f>
      </c>
      <c r="I439" s="18"/>
    </row>
    <row r="440" spans="1:9" x14ac:dyDescent="0.25">
      <c r="A440" s="17"/>
      <c r="B440" s="18"/>
      <c r="C440" s="18"/>
      <c r="D440" s="18"/>
      <c r="E440" s="19"/>
      <c r="F440" s="18"/>
      <c r="G440" s="20"/>
      <c r="H440" s="16">
        <f>IF(AND(E440="",G440=""),"",IF(OR(E440="",G440=""),"falta dato",E440*G440))</f>
      </c>
      <c r="I440" s="18"/>
    </row>
    <row r="441" spans="1:9" x14ac:dyDescent="0.25">
      <c r="A441" s="17"/>
      <c r="B441" s="18"/>
      <c r="C441" s="18"/>
      <c r="D441" s="18"/>
      <c r="E441" s="19"/>
      <c r="F441" s="18"/>
      <c r="G441" s="20"/>
      <c r="H441" s="16">
        <f>IF(AND(E441="",G441=""),"",IF(OR(E441="",G441=""),"falta dato",E441*G441))</f>
      </c>
      <c r="I441" s="18"/>
    </row>
    <row r="442" spans="1:9" x14ac:dyDescent="0.25">
      <c r="A442" s="17"/>
      <c r="B442" s="18"/>
      <c r="C442" s="18"/>
      <c r="D442" s="18"/>
      <c r="E442" s="19"/>
      <c r="F442" s="18"/>
      <c r="G442" s="20"/>
      <c r="H442" s="16">
        <f>IF(AND(E442="",G442=""),"",IF(OR(E442="",G442=""),"falta dato",E442*G442))</f>
      </c>
      <c r="I442" s="18"/>
    </row>
    <row r="443" spans="1:9" x14ac:dyDescent="0.25">
      <c r="A443" s="17"/>
      <c r="B443" s="18"/>
      <c r="C443" s="18"/>
      <c r="D443" s="18"/>
      <c r="E443" s="19"/>
      <c r="F443" s="18"/>
      <c r="G443" s="20"/>
      <c r="H443" s="16">
        <f>IF(AND(E443="",G443=""),"",IF(OR(E443="",G443=""),"falta dato",E443*G443))</f>
      </c>
      <c r="I443" s="18"/>
    </row>
    <row r="444" spans="1:9" x14ac:dyDescent="0.25">
      <c r="A444" s="17"/>
      <c r="B444" s="18"/>
      <c r="C444" s="18"/>
      <c r="D444" s="18"/>
      <c r="E444" s="19"/>
      <c r="F444" s="18"/>
      <c r="G444" s="20"/>
      <c r="H444" s="16">
        <f>IF(AND(E444="",G444=""),"",IF(OR(E444="",G444=""),"falta dato",E444*G444))</f>
      </c>
      <c r="I444" s="18"/>
    </row>
    <row r="445" spans="1:9" x14ac:dyDescent="0.25">
      <c r="A445" s="17"/>
      <c r="B445" s="18"/>
      <c r="C445" s="18"/>
      <c r="D445" s="18"/>
      <c r="E445" s="19"/>
      <c r="F445" s="18"/>
      <c r="G445" s="20"/>
      <c r="H445" s="16">
        <f>IF(AND(E445="",G445=""),"",IF(OR(E445="",G445=""),"falta dato",E445*G445))</f>
      </c>
      <c r="I445" s="18"/>
    </row>
    <row r="446" spans="1:9" x14ac:dyDescent="0.25">
      <c r="A446" s="17"/>
      <c r="B446" s="18"/>
      <c r="C446" s="18"/>
      <c r="D446" s="18"/>
      <c r="E446" s="19"/>
      <c r="F446" s="18"/>
      <c r="G446" s="20"/>
      <c r="H446" s="16">
        <f>IF(AND(E446="",G446=""),"",IF(OR(E446="",G446=""),"falta dato",E446*G446))</f>
      </c>
      <c r="I446" s="18"/>
    </row>
    <row r="447" spans="1:9" x14ac:dyDescent="0.25">
      <c r="A447" s="17"/>
      <c r="B447" s="18"/>
      <c r="C447" s="18"/>
      <c r="D447" s="18"/>
      <c r="E447" s="19"/>
      <c r="F447" s="18"/>
      <c r="G447" s="20"/>
      <c r="H447" s="16">
        <f>IF(AND(E447="",G447=""),"",IF(OR(E447="",G447=""),"falta dato",E447*G447))</f>
      </c>
      <c r="I447" s="18"/>
    </row>
    <row r="448" spans="1:9" x14ac:dyDescent="0.25">
      <c r="A448" s="17"/>
      <c r="B448" s="18"/>
      <c r="C448" s="18"/>
      <c r="D448" s="18"/>
      <c r="E448" s="19"/>
      <c r="F448" s="18"/>
      <c r="G448" s="20"/>
      <c r="H448" s="16">
        <f>IF(AND(E448="",G448=""),"",IF(OR(E448="",G448=""),"falta dato",E448*G448))</f>
      </c>
      <c r="I448" s="18"/>
    </row>
    <row r="449" spans="1:9" x14ac:dyDescent="0.25">
      <c r="A449" s="17"/>
      <c r="B449" s="18"/>
      <c r="C449" s="18"/>
      <c r="D449" s="18"/>
      <c r="E449" s="19"/>
      <c r="F449" s="18"/>
      <c r="G449" s="20"/>
      <c r="H449" s="16">
        <f>IF(AND(E449="",G449=""),"",IF(OR(E449="",G449=""),"falta dato",E449*G449))</f>
      </c>
      <c r="I449" s="18"/>
    </row>
    <row r="450" spans="1:9" x14ac:dyDescent="0.25">
      <c r="A450" s="17"/>
      <c r="B450" s="18"/>
      <c r="C450" s="18"/>
      <c r="D450" s="18"/>
      <c r="E450" s="19"/>
      <c r="F450" s="18"/>
      <c r="G450" s="20"/>
      <c r="H450" s="16">
        <f>IF(AND(E450="",G450=""),"",IF(OR(E450="",G450=""),"falta dato",E450*G450))</f>
      </c>
      <c r="I450" s="18"/>
    </row>
    <row r="451" spans="1:9" x14ac:dyDescent="0.25">
      <c r="A451" s="17"/>
      <c r="B451" s="18"/>
      <c r="C451" s="18"/>
      <c r="D451" s="18"/>
      <c r="E451" s="19"/>
      <c r="F451" s="18"/>
      <c r="G451" s="20"/>
      <c r="H451" s="16">
        <f>IF(AND(E451="",G451=""),"",IF(OR(E451="",G451=""),"falta dato",E451*G451))</f>
      </c>
      <c r="I451" s="18"/>
    </row>
    <row r="452" spans="1:9" x14ac:dyDescent="0.25">
      <c r="A452" s="17"/>
      <c r="B452" s="18"/>
      <c r="C452" s="18"/>
      <c r="D452" s="18"/>
      <c r="E452" s="19"/>
      <c r="F452" s="18"/>
      <c r="G452" s="20"/>
      <c r="H452" s="16">
        <f>IF(AND(E452="",G452=""),"",IF(OR(E452="",G452=""),"falta dato",E452*G452))</f>
      </c>
      <c r="I452" s="18"/>
    </row>
    <row r="453" spans="1:9" x14ac:dyDescent="0.25">
      <c r="A453" s="17"/>
      <c r="B453" s="18"/>
      <c r="C453" s="18"/>
      <c r="D453" s="18"/>
      <c r="E453" s="19"/>
      <c r="F453" s="18"/>
      <c r="G453" s="20"/>
      <c r="H453" s="16">
        <f>IF(AND(E453="",G453=""),"",IF(OR(E453="",G453=""),"falta dato",E453*G453))</f>
      </c>
      <c r="I453" s="18"/>
    </row>
    <row r="454" spans="1:9" x14ac:dyDescent="0.25">
      <c r="A454" s="17"/>
      <c r="B454" s="18"/>
      <c r="C454" s="18"/>
      <c r="D454" s="18"/>
      <c r="E454" s="19"/>
      <c r="F454" s="18"/>
      <c r="G454" s="20"/>
      <c r="H454" s="16">
        <f>IF(AND(E454="",G454=""),"",IF(OR(E454="",G454=""),"falta dato",E454*G454))</f>
      </c>
      <c r="I454" s="18"/>
    </row>
    <row r="455" spans="1:9" x14ac:dyDescent="0.25">
      <c r="A455" s="17"/>
      <c r="B455" s="18"/>
      <c r="C455" s="18"/>
      <c r="D455" s="18"/>
      <c r="E455" s="19"/>
      <c r="F455" s="18"/>
      <c r="G455" s="20"/>
      <c r="H455" s="16">
        <f>IF(AND(E455="",G455=""),"",IF(OR(E455="",G455=""),"falta dato",E455*G455))</f>
      </c>
      <c r="I455" s="18"/>
    </row>
    <row r="456" spans="1:9" x14ac:dyDescent="0.25">
      <c r="A456" s="17"/>
      <c r="B456" s="18"/>
      <c r="C456" s="18"/>
      <c r="D456" s="18"/>
      <c r="E456" s="19"/>
      <c r="F456" s="18"/>
      <c r="G456" s="20"/>
      <c r="H456" s="16">
        <f>IF(AND(E456="",G456=""),"",IF(OR(E456="",G456=""),"falta dato",E456*G456))</f>
      </c>
      <c r="I456" s="18"/>
    </row>
    <row r="457" spans="1:9" x14ac:dyDescent="0.25">
      <c r="A457" s="17"/>
      <c r="B457" s="18"/>
      <c r="C457" s="18"/>
      <c r="D457" s="18"/>
      <c r="E457" s="19"/>
      <c r="F457" s="18"/>
      <c r="G457" s="20"/>
      <c r="H457" s="16">
        <f>IF(AND(E457="",G457=""),"",IF(OR(E457="",G457=""),"falta dato",E457*G457))</f>
      </c>
      <c r="I457" s="18"/>
    </row>
    <row r="458" spans="1:9" x14ac:dyDescent="0.25">
      <c r="A458" s="17"/>
      <c r="B458" s="18"/>
      <c r="C458" s="18"/>
      <c r="D458" s="18"/>
      <c r="E458" s="19"/>
      <c r="F458" s="18"/>
      <c r="G458" s="20"/>
      <c r="H458" s="16">
        <f>IF(AND(E458="",G458=""),"",IF(OR(E458="",G458=""),"falta dato",E458*G458))</f>
      </c>
      <c r="I458" s="18"/>
    </row>
    <row r="459" spans="1:9" x14ac:dyDescent="0.25">
      <c r="A459" s="17"/>
      <c r="B459" s="18"/>
      <c r="C459" s="18"/>
      <c r="D459" s="18"/>
      <c r="E459" s="19"/>
      <c r="F459" s="18"/>
      <c r="G459" s="20"/>
      <c r="H459" s="16">
        <f>IF(AND(E459="",G459=""),"",IF(OR(E459="",G459=""),"falta dato",E459*G459))</f>
      </c>
      <c r="I459" s="18"/>
    </row>
    <row r="460" spans="1:9" x14ac:dyDescent="0.25">
      <c r="A460" s="17"/>
      <c r="B460" s="18"/>
      <c r="C460" s="18"/>
      <c r="D460" s="18"/>
      <c r="E460" s="19"/>
      <c r="F460" s="18"/>
      <c r="G460" s="20"/>
      <c r="H460" s="16">
        <f>IF(AND(E460="",G460=""),"",IF(OR(E460="",G460=""),"falta dato",E460*G460))</f>
      </c>
      <c r="I460" s="18"/>
    </row>
    <row r="461" spans="1:9" x14ac:dyDescent="0.25">
      <c r="A461" s="17"/>
      <c r="B461" s="18"/>
      <c r="C461" s="18"/>
      <c r="D461" s="18"/>
      <c r="E461" s="19"/>
      <c r="F461" s="18"/>
      <c r="G461" s="20"/>
      <c r="H461" s="16">
        <f>IF(AND(E461="",G461=""),"",IF(OR(E461="",G461=""),"falta dato",E461*G461))</f>
      </c>
      <c r="I461" s="18"/>
    </row>
    <row r="462" spans="1:9" x14ac:dyDescent="0.25">
      <c r="A462" s="17"/>
      <c r="B462" s="18"/>
      <c r="C462" s="18"/>
      <c r="D462" s="18"/>
      <c r="E462" s="19"/>
      <c r="F462" s="18"/>
      <c r="G462" s="20"/>
      <c r="H462" s="16">
        <f>IF(AND(E462="",G462=""),"",IF(OR(E462="",G462=""),"falta dato",E462*G462))</f>
      </c>
      <c r="I462" s="18"/>
    </row>
    <row r="463" spans="1:9" x14ac:dyDescent="0.25">
      <c r="A463" s="17"/>
      <c r="B463" s="18"/>
      <c r="C463" s="18"/>
      <c r="D463" s="18"/>
      <c r="E463" s="19"/>
      <c r="F463" s="18"/>
      <c r="G463" s="20"/>
      <c r="H463" s="16">
        <f>IF(AND(E463="",G463=""),"",IF(OR(E463="",G463=""),"falta dato",E463*G463))</f>
      </c>
      <c r="I463" s="18"/>
    </row>
    <row r="464" spans="1:9" x14ac:dyDescent="0.25">
      <c r="A464" s="17"/>
      <c r="B464" s="18"/>
      <c r="C464" s="18"/>
      <c r="D464" s="18"/>
      <c r="E464" s="19"/>
      <c r="F464" s="18"/>
      <c r="G464" s="20"/>
      <c r="H464" s="16">
        <f>IF(AND(E464="",G464=""),"",IF(OR(E464="",G464=""),"falta dato",E464*G464))</f>
      </c>
      <c r="I464" s="18"/>
    </row>
    <row r="465" spans="1:9" x14ac:dyDescent="0.25">
      <c r="A465" s="17"/>
      <c r="B465" s="18"/>
      <c r="C465" s="18"/>
      <c r="D465" s="18"/>
      <c r="E465" s="19"/>
      <c r="F465" s="18"/>
      <c r="G465" s="20"/>
      <c r="H465" s="16">
        <f>IF(AND(E465="",G465=""),"",IF(OR(E465="",G465=""),"falta dato",E465*G465))</f>
      </c>
      <c r="I465" s="18"/>
    </row>
    <row r="466" spans="1:9" x14ac:dyDescent="0.25">
      <c r="A466" s="17"/>
      <c r="B466" s="18"/>
      <c r="C466" s="18"/>
      <c r="D466" s="18"/>
      <c r="E466" s="19"/>
      <c r="F466" s="18"/>
      <c r="G466" s="20"/>
      <c r="H466" s="16">
        <f>IF(AND(E466="",G466=""),"",IF(OR(E466="",G466=""),"falta dato",E466*G466))</f>
      </c>
      <c r="I466" s="18"/>
    </row>
    <row r="467" spans="1:9" x14ac:dyDescent="0.25">
      <c r="A467" s="17"/>
      <c r="B467" s="18"/>
      <c r="C467" s="18"/>
      <c r="D467" s="18"/>
      <c r="E467" s="19"/>
      <c r="F467" s="18"/>
      <c r="G467" s="20"/>
      <c r="H467" s="16">
        <f>IF(AND(E467="",G467=""),"",IF(OR(E467="",G467=""),"falta dato",E467*G467))</f>
      </c>
      <c r="I467" s="18"/>
    </row>
    <row r="468" spans="1:9" x14ac:dyDescent="0.25">
      <c r="A468" s="17"/>
      <c r="B468" s="18"/>
      <c r="C468" s="18"/>
      <c r="D468" s="18"/>
      <c r="E468" s="19"/>
      <c r="F468" s="18"/>
      <c r="G468" s="20"/>
      <c r="H468" s="16">
        <f>IF(AND(E468="",G468=""),"",IF(OR(E468="",G468=""),"falta dato",E468*G468))</f>
      </c>
      <c r="I468" s="18"/>
    </row>
    <row r="469" spans="1:9" x14ac:dyDescent="0.25">
      <c r="A469" s="17"/>
      <c r="B469" s="18"/>
      <c r="C469" s="18"/>
      <c r="D469" s="18"/>
      <c r="E469" s="19"/>
      <c r="F469" s="18"/>
      <c r="G469" s="20"/>
      <c r="H469" s="16">
        <f>IF(AND(E469="",G469=""),"",IF(OR(E469="",G469=""),"falta dato",E469*G469))</f>
      </c>
      <c r="I469" s="18"/>
    </row>
    <row r="470" spans="1:9" x14ac:dyDescent="0.25">
      <c r="A470" s="17"/>
      <c r="B470" s="18"/>
      <c r="C470" s="18"/>
      <c r="D470" s="18"/>
      <c r="E470" s="19"/>
      <c r="F470" s="18"/>
      <c r="G470" s="20"/>
      <c r="H470" s="16">
        <f>IF(AND(E470="",G470=""),"",IF(OR(E470="",G470=""),"falta dato",E470*G470))</f>
      </c>
      <c r="I470" s="18"/>
    </row>
    <row r="471" spans="1:9" x14ac:dyDescent="0.25">
      <c r="A471" s="17"/>
      <c r="B471" s="18"/>
      <c r="C471" s="18"/>
      <c r="D471" s="18"/>
      <c r="E471" s="19"/>
      <c r="F471" s="18"/>
      <c r="G471" s="20"/>
      <c r="H471" s="16">
        <f>IF(AND(E471="",G471=""),"",IF(OR(E471="",G471=""),"falta dato",E471*G471))</f>
      </c>
      <c r="I471" s="18"/>
    </row>
    <row r="472" spans="1:9" x14ac:dyDescent="0.25">
      <c r="A472" s="17"/>
      <c r="B472" s="18"/>
      <c r="C472" s="18"/>
      <c r="D472" s="18"/>
      <c r="E472" s="19"/>
      <c r="F472" s="18"/>
      <c r="G472" s="20"/>
      <c r="H472" s="16">
        <f>IF(AND(E472="",G472=""),"",IF(OR(E472="",G472=""),"falta dato",E472*G472))</f>
      </c>
      <c r="I472" s="18"/>
    </row>
    <row r="473" spans="1:9" x14ac:dyDescent="0.25">
      <c r="A473" s="17"/>
      <c r="B473" s="18"/>
      <c r="C473" s="18"/>
      <c r="D473" s="18"/>
      <c r="E473" s="19"/>
      <c r="F473" s="18"/>
      <c r="G473" s="20"/>
      <c r="H473" s="16">
        <f>IF(AND(E473="",G473=""),"",IF(OR(E473="",G473=""),"falta dato",E473*G473))</f>
      </c>
      <c r="I473" s="18"/>
    </row>
    <row r="474" spans="1:9" x14ac:dyDescent="0.25">
      <c r="A474" s="17"/>
      <c r="B474" s="18"/>
      <c r="C474" s="18"/>
      <c r="D474" s="18"/>
      <c r="E474" s="19"/>
      <c r="F474" s="18"/>
      <c r="G474" s="20"/>
      <c r="H474" s="16">
        <f>IF(AND(E474="",G474=""),"",IF(OR(E474="",G474=""),"falta dato",E474*G474))</f>
      </c>
      <c r="I474" s="18"/>
    </row>
    <row r="475" spans="1:9" x14ac:dyDescent="0.25">
      <c r="A475" s="17"/>
      <c r="B475" s="18"/>
      <c r="C475" s="18"/>
      <c r="D475" s="18"/>
      <c r="E475" s="19"/>
      <c r="F475" s="18"/>
      <c r="G475" s="20"/>
      <c r="H475" s="16">
        <f>IF(AND(E475="",G475=""),"",IF(OR(E475="",G475=""),"falta dato",E475*G475))</f>
      </c>
      <c r="I475" s="18"/>
    </row>
    <row r="476" spans="1:9" x14ac:dyDescent="0.25">
      <c r="A476" s="17"/>
      <c r="B476" s="18"/>
      <c r="C476" s="18"/>
      <c r="D476" s="18"/>
      <c r="E476" s="19"/>
      <c r="F476" s="18"/>
      <c r="G476" s="20"/>
      <c r="H476" s="16">
        <f>IF(AND(E476="",G476=""),"",IF(OR(E476="",G476=""),"falta dato",E476*G476))</f>
      </c>
      <c r="I476" s="18"/>
    </row>
    <row r="477" spans="1:9" x14ac:dyDescent="0.25">
      <c r="A477" s="17"/>
      <c r="B477" s="18"/>
      <c r="C477" s="18"/>
      <c r="D477" s="18"/>
      <c r="E477" s="19"/>
      <c r="F477" s="18"/>
      <c r="G477" s="20"/>
      <c r="H477" s="16">
        <f>IF(AND(E477="",G477=""),"",IF(OR(E477="",G477=""),"falta dato",E477*G477))</f>
      </c>
      <c r="I477" s="18"/>
    </row>
    <row r="478" spans="1:9" x14ac:dyDescent="0.25">
      <c r="A478" s="17"/>
      <c r="B478" s="18"/>
      <c r="C478" s="18"/>
      <c r="D478" s="18"/>
      <c r="E478" s="19"/>
      <c r="F478" s="18"/>
      <c r="G478" s="20"/>
      <c r="H478" s="16">
        <f>IF(AND(E478="",G478=""),"",IF(OR(E478="",G478=""),"falta dato",E478*G478))</f>
      </c>
      <c r="I478" s="18"/>
    </row>
    <row r="479" spans="1:9" x14ac:dyDescent="0.25">
      <c r="A479" s="17"/>
      <c r="B479" s="18"/>
      <c r="C479" s="18"/>
      <c r="D479" s="18"/>
      <c r="E479" s="19"/>
      <c r="F479" s="18"/>
      <c r="G479" s="20"/>
      <c r="H479" s="16">
        <f>IF(AND(E479="",G479=""),"",IF(OR(E479="",G479=""),"falta dato",E479*G479))</f>
      </c>
      <c r="I479" s="18"/>
    </row>
    <row r="480" spans="1:9" x14ac:dyDescent="0.25">
      <c r="A480" s="17"/>
      <c r="B480" s="18"/>
      <c r="C480" s="18"/>
      <c r="D480" s="18"/>
      <c r="E480" s="19"/>
      <c r="F480" s="18"/>
      <c r="G480" s="20"/>
      <c r="H480" s="16">
        <f>IF(AND(E480="",G480=""),"",IF(OR(E480="",G480=""),"falta dato",E480*G480))</f>
      </c>
      <c r="I480" s="18"/>
    </row>
    <row r="481" spans="1:9" x14ac:dyDescent="0.25">
      <c r="A481" s="17"/>
      <c r="B481" s="18"/>
      <c r="C481" s="18"/>
      <c r="D481" s="18"/>
      <c r="E481" s="19"/>
      <c r="F481" s="18"/>
      <c r="G481" s="20"/>
      <c r="H481" s="16">
        <f>IF(AND(E481="",G481=""),"",IF(OR(E481="",G481=""),"falta dato",E481*G481))</f>
      </c>
      <c r="I481" s="18"/>
    </row>
    <row r="482" spans="1:9" x14ac:dyDescent="0.25">
      <c r="A482" s="17"/>
      <c r="B482" s="18"/>
      <c r="C482" s="18"/>
      <c r="D482" s="18"/>
      <c r="E482" s="19"/>
      <c r="F482" s="18"/>
      <c r="G482" s="20"/>
      <c r="H482" s="16">
        <f>IF(AND(E482="",G482=""),"",IF(OR(E482="",G482=""),"falta dato",E482*G482))</f>
      </c>
      <c r="I482" s="18"/>
    </row>
    <row r="483" spans="1:9" x14ac:dyDescent="0.25">
      <c r="A483" s="17"/>
      <c r="B483" s="18"/>
      <c r="C483" s="18"/>
      <c r="D483" s="18"/>
      <c r="E483" s="19"/>
      <c r="F483" s="18"/>
      <c r="G483" s="20"/>
      <c r="H483" s="16">
        <f>IF(AND(E483="",G483=""),"",IF(OR(E483="",G483=""),"falta dato",E483*G483))</f>
      </c>
      <c r="I483" s="18"/>
    </row>
    <row r="484" spans="1:9" x14ac:dyDescent="0.25">
      <c r="A484" s="17"/>
      <c r="B484" s="18"/>
      <c r="C484" s="18"/>
      <c r="D484" s="18"/>
      <c r="E484" s="19"/>
      <c r="F484" s="18"/>
      <c r="G484" s="20"/>
      <c r="H484" s="16">
        <f>IF(AND(E484="",G484=""),"",IF(OR(E484="",G484=""),"falta dato",E484*G484))</f>
      </c>
      <c r="I484" s="18"/>
    </row>
    <row r="485" spans="1:9" x14ac:dyDescent="0.25">
      <c r="A485" s="17"/>
      <c r="B485" s="18"/>
      <c r="C485" s="18"/>
      <c r="D485" s="18"/>
      <c r="E485" s="19"/>
      <c r="F485" s="18"/>
      <c r="G485" s="20"/>
      <c r="H485" s="16">
        <f>IF(AND(E485="",G485=""),"",IF(OR(E485="",G485=""),"falta dato",E485*G485))</f>
      </c>
      <c r="I485" s="18"/>
    </row>
    <row r="486" spans="1:9" x14ac:dyDescent="0.25">
      <c r="A486" s="17"/>
      <c r="B486" s="18"/>
      <c r="C486" s="18"/>
      <c r="D486" s="18"/>
      <c r="E486" s="19"/>
      <c r="F486" s="18"/>
      <c r="G486" s="20"/>
      <c r="H486" s="16">
        <f>IF(AND(E486="",G486=""),"",IF(OR(E486="",G486=""),"falta dato",E486*G486))</f>
      </c>
      <c r="I486" s="18"/>
    </row>
    <row r="487" spans="1:9" x14ac:dyDescent="0.25">
      <c r="A487" s="17"/>
      <c r="B487" s="18"/>
      <c r="C487" s="18"/>
      <c r="D487" s="18"/>
      <c r="E487" s="19"/>
      <c r="F487" s="18"/>
      <c r="G487" s="20"/>
      <c r="H487" s="16">
        <f>IF(AND(E487="",G487=""),"",IF(OR(E487="",G487=""),"falta dato",E487*G487))</f>
      </c>
      <c r="I487" s="18"/>
    </row>
    <row r="488" spans="1:9" x14ac:dyDescent="0.25">
      <c r="A488" s="17"/>
      <c r="B488" s="18"/>
      <c r="C488" s="18"/>
      <c r="D488" s="18"/>
      <c r="E488" s="19"/>
      <c r="F488" s="18"/>
      <c r="G488" s="20"/>
      <c r="H488" s="16">
        <f>IF(AND(E488="",G488=""),"",IF(OR(E488="",G488=""),"falta dato",E488*G488))</f>
      </c>
      <c r="I488" s="18"/>
    </row>
    <row r="489" spans="1:9" x14ac:dyDescent="0.25">
      <c r="A489" s="17"/>
      <c r="B489" s="18"/>
      <c r="C489" s="18"/>
      <c r="D489" s="18"/>
      <c r="E489" s="19"/>
      <c r="F489" s="18"/>
      <c r="G489" s="20"/>
      <c r="H489" s="16">
        <f>IF(AND(E489="",G489=""),"",IF(OR(E489="",G489=""),"falta dato",E489*G489))</f>
      </c>
      <c r="I489" s="18"/>
    </row>
    <row r="490" spans="1:9" x14ac:dyDescent="0.25">
      <c r="A490" s="17"/>
      <c r="B490" s="18"/>
      <c r="C490" s="18"/>
      <c r="D490" s="18"/>
      <c r="E490" s="19"/>
      <c r="F490" s="18"/>
      <c r="G490" s="20"/>
      <c r="H490" s="16">
        <f>IF(AND(E490="",G490=""),"",IF(OR(E490="",G490=""),"falta dato",E490*G490))</f>
      </c>
      <c r="I490" s="18"/>
    </row>
    <row r="491" spans="1:9" x14ac:dyDescent="0.25">
      <c r="A491" s="17"/>
      <c r="B491" s="18"/>
      <c r="C491" s="18"/>
      <c r="D491" s="18"/>
      <c r="E491" s="19"/>
      <c r="F491" s="18"/>
      <c r="G491" s="20"/>
      <c r="H491" s="16">
        <f>IF(AND(E491="",G491=""),"",IF(OR(E491="",G491=""),"falta dato",E491*G491))</f>
      </c>
      <c r="I491" s="18"/>
    </row>
    <row r="492" spans="1:9" x14ac:dyDescent="0.25">
      <c r="A492" s="17"/>
      <c r="B492" s="18"/>
      <c r="C492" s="18"/>
      <c r="D492" s="18"/>
      <c r="E492" s="19"/>
      <c r="F492" s="18"/>
      <c r="G492" s="20"/>
      <c r="H492" s="16">
        <f>IF(AND(E492="",G492=""),"",IF(OR(E492="",G492=""),"falta dato",E492*G492))</f>
      </c>
      <c r="I492" s="18"/>
    </row>
    <row r="493" spans="1:9" x14ac:dyDescent="0.25">
      <c r="A493" s="17"/>
      <c r="B493" s="18"/>
      <c r="C493" s="18"/>
      <c r="D493" s="18"/>
      <c r="E493" s="19"/>
      <c r="F493" s="18"/>
      <c r="G493" s="20"/>
      <c r="H493" s="16">
        <f>IF(AND(E493="",G493=""),"",IF(OR(E493="",G493=""),"falta dato",E493*G493))</f>
      </c>
      <c r="I493" s="18"/>
    </row>
    <row r="494" spans="1:9" x14ac:dyDescent="0.25">
      <c r="A494" s="17"/>
      <c r="B494" s="18"/>
      <c r="C494" s="18"/>
      <c r="D494" s="18"/>
      <c r="E494" s="19"/>
      <c r="F494" s="18"/>
      <c r="G494" s="20"/>
      <c r="H494" s="16">
        <f>IF(AND(E494="",G494=""),"",IF(OR(E494="",G494=""),"falta dato",E494*G494))</f>
      </c>
      <c r="I494" s="18"/>
    </row>
    <row r="495" spans="1:9" x14ac:dyDescent="0.25">
      <c r="A495" s="17"/>
      <c r="B495" s="18"/>
      <c r="C495" s="18"/>
      <c r="D495" s="18"/>
      <c r="E495" s="19"/>
      <c r="F495" s="18"/>
      <c r="G495" s="20"/>
      <c r="H495" s="16">
        <f>IF(AND(E495="",G495=""),"",IF(OR(E495="",G495=""),"falta dato",E495*G495))</f>
      </c>
      <c r="I495" s="18"/>
    </row>
    <row r="496" spans="1:9" x14ac:dyDescent="0.25">
      <c r="A496" s="17"/>
      <c r="B496" s="18"/>
      <c r="C496" s="18"/>
      <c r="D496" s="18"/>
      <c r="E496" s="19"/>
      <c r="F496" s="18"/>
      <c r="G496" s="20"/>
      <c r="H496" s="16">
        <f>IF(AND(E496="",G496=""),"",IF(OR(E496="",G496=""),"falta dato",E496*G496))</f>
      </c>
      <c r="I496" s="18"/>
    </row>
    <row r="497" spans="1:9" x14ac:dyDescent="0.25">
      <c r="A497" s="17"/>
      <c r="B497" s="18"/>
      <c r="C497" s="18"/>
      <c r="D497" s="18"/>
      <c r="E497" s="19"/>
      <c r="F497" s="18"/>
      <c r="G497" s="20"/>
      <c r="H497" s="16">
        <f>IF(AND(E497="",G497=""),"",IF(OR(E497="",G497=""),"falta dato",E497*G497))</f>
      </c>
      <c r="I497" s="18"/>
    </row>
    <row r="498" spans="1:9" x14ac:dyDescent="0.25">
      <c r="A498" s="17"/>
      <c r="B498" s="18"/>
      <c r="C498" s="18"/>
      <c r="D498" s="18"/>
      <c r="E498" s="19"/>
      <c r="F498" s="18"/>
      <c r="G498" s="20"/>
      <c r="H498" s="16">
        <f>IF(AND(E498="",G498=""),"",IF(OR(E498="",G498=""),"falta dato",E498*G498))</f>
      </c>
      <c r="I498" s="18"/>
    </row>
    <row r="499" spans="1:9" x14ac:dyDescent="0.25">
      <c r="A499" s="17"/>
      <c r="B499" s="18"/>
      <c r="C499" s="18"/>
      <c r="D499" s="18"/>
      <c r="E499" s="19"/>
      <c r="F499" s="18"/>
      <c r="G499" s="20"/>
      <c r="H499" s="16">
        <f>IF(AND(E499="",G499=""),"",IF(OR(E499="",G499=""),"falta dato",E499*G499))</f>
      </c>
      <c r="I499" s="18"/>
    </row>
    <row r="500" spans="1:9" x14ac:dyDescent="0.25">
      <c r="A500" s="17"/>
      <c r="B500" s="18"/>
      <c r="C500" s="18"/>
      <c r="D500" s="18"/>
      <c r="E500" s="19"/>
      <c r="F500" s="18"/>
      <c r="G500" s="20"/>
      <c r="H500" s="16">
        <f>IF(AND(E500="",G500=""),"",IF(OR(E500="",G500=""),"falta dato",E500*G500))</f>
      </c>
      <c r="I500" s="18"/>
    </row>
    <row r="501" spans="1:9" x14ac:dyDescent="0.25">
      <c r="A501" s="17"/>
      <c r="B501" s="18"/>
      <c r="C501" s="18"/>
      <c r="D501" s="18"/>
      <c r="E501" s="19"/>
      <c r="F501" s="18"/>
      <c r="G501" s="20"/>
      <c r="H501" s="16">
        <f>IF(AND(E501="",G501=""),"",IF(OR(E501="",G501=""),"falta dato",E501*G501))</f>
      </c>
      <c r="I501" s="18"/>
    </row>
    <row r="502" spans="1:9" x14ac:dyDescent="0.25">
      <c r="A502" s="17"/>
      <c r="B502" s="18"/>
      <c r="C502" s="18"/>
      <c r="D502" s="18"/>
      <c r="E502" s="19"/>
      <c r="F502" s="18"/>
      <c r="G502" s="20"/>
      <c r="H502" s="16">
        <f>IF(AND(E502="",G502=""),"",IF(OR(E502="",G502=""),"falta dato",E502*G502))</f>
      </c>
      <c r="I502" s="18"/>
    </row>
    <row r="503" spans="1:9" x14ac:dyDescent="0.25">
      <c r="A503" s="17"/>
      <c r="B503" s="18"/>
      <c r="C503" s="18"/>
      <c r="D503" s="18"/>
      <c r="E503" s="19"/>
      <c r="F503" s="18"/>
      <c r="G503" s="20"/>
      <c r="H503" s="16">
        <f>IF(AND(E503="",G503=""),"",IF(OR(E503="",G503=""),"falta dato",E503*G503))</f>
      </c>
      <c r="I503" s="18"/>
    </row>
    <row r="504" spans="1:9" x14ac:dyDescent="0.25">
      <c r="A504" s="17"/>
      <c r="B504" s="18"/>
      <c r="C504" s="18"/>
      <c r="D504" s="18"/>
      <c r="E504" s="19"/>
      <c r="F504" s="18"/>
      <c r="G504" s="20"/>
      <c r="H504" s="16">
        <f>IF(AND(E504="",G504=""),"",IF(OR(E504="",G504=""),"falta dato",E504*G504))</f>
      </c>
      <c r="I504" s="18"/>
    </row>
    <row r="505" spans="1:9" x14ac:dyDescent="0.25">
      <c r="A505" s="17"/>
      <c r="B505" s="18"/>
      <c r="C505" s="18"/>
      <c r="D505" s="18"/>
      <c r="E505" s="19"/>
      <c r="F505" s="18"/>
      <c r="G505" s="20"/>
      <c r="H505" s="16">
        <f>IF(AND(E505="",G505=""),"",IF(OR(E505="",G505=""),"falta dato",E505*G505))</f>
      </c>
      <c r="I505" s="18"/>
    </row>
  </sheetData>
  <sheetProtection sheet="1" formatColumns="0" formatRows="0" autoFilter="0"/>
  <conditionalFormatting sqref="H5:H505">
    <cfRule type="containsText" dxfId="0" priority="1">
      <formula>NOT(ISERROR(SEARCH("falta",H5)))</formula>
    </cfRule>
  </conditionalFormatting>
  <dataValidations count="6">
    <dataValidation type="date" operator="greaterThan" allowBlank="1" showErrorMessage="1" errorTitle="Fecha" error="Escriba una fecha válida, por ejemplo 15/03/2026." sqref="A5:A505">
      <formula1>36526</formula1>
    </dataValidation>
    <dataValidation type="list" allowBlank="1" showErrorMessage="1" errorTitle="Lote" error="Elija un lote de la lista. Si no está, créelo primero en la hoja «Control de lotes»." sqref="B5:B505">
      <formula1>'Control de lotes'!$A$5:$A$54</formula1>
    </dataValidation>
    <dataValidation type="list" allowBlank="1" showErrorMessage="1" errorTitle="Categoría" error="Elija una categoría de la lista." sqref="C5:C505">
      <formula1>"Alimento,Compra de lechones,Sanidad,Mano de obra,Agua y energía,Transporte,Mantenimiento,Depreciación,Otros"</formula1>
    </dataValidation>
    <dataValidation type="decimal" operator="greaterThanOrEqual" allowBlank="1" showErrorMessage="1" errorTitle="Cantidad" error="La cantidad no puede ser negativa." sqref="E5:E505">
      <formula1>0</formula1>
    </dataValidation>
    <dataValidation type="decimal" operator="greaterThanOrEqual" allowBlank="1" showErrorMessage="1" errorTitle="Costo" error="El costo no puede ser negativo." sqref="G5:G505">
      <formula1>0</formula1>
    </dataValidation>
    <dataValidation type="list" allowBlank="1" showErrorMessage="1" errorTitle="Tipo" error="Escriba Fijo o Variable." sqref="I5:I505">
      <formula1>"Fijo,Variable"</formula1>
    </dataValidation>
  </dataValidations>
  <pageSetup paperSize="1"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F7D4F"/>
    <pageSetUpPr fitToPage="1"/>
  </sheetPr>
  <dimension ref="A1:I505"/>
  <sheetViews>
    <sheetView workbookViewId="0">
      <pane ySplit="4" topLeftCell="A5" activePane="bottomLeft" state="frozen"/>
      <selection pane="bottomLeft"/>
    </sheetView>
  </sheetViews>
  <sheetFormatPr defaultRowHeight="15" outlineLevelRow="0" outlineLevelCol="0" x14ac:dyDescent="55"/>
  <cols>
    <col min="1" max="1" width="12" customWidth="1"/>
    <col min="2" max="2" width="10" customWidth="1"/>
    <col min="3" max="3" width="34" customWidth="1"/>
    <col min="4" max="4" width="11" customWidth="1"/>
    <col min="5" max="6" width="14" customWidth="1"/>
    <col min="7" max="7" width="17" customWidth="1"/>
    <col min="8" max="8" width="16" customWidth="1"/>
    <col min="9" max="9" width="17" customWidth="1"/>
  </cols>
  <sheetData>
    <row r="1" spans="1:1" x14ac:dyDescent="0.25">
      <c r="A1" s="9" t="s">
        <v>88</v>
      </c>
    </row>
    <row r="2" spans="1:1" x14ac:dyDescent="0.25">
      <c r="A2" s="2" t="s">
        <v>89</v>
      </c>
    </row>
    <row r="3" spans="1:1" x14ac:dyDescent="0.25">
      <c r="A3" s="10" t="s">
        <v>57</v>
      </c>
    </row>
    <row r="4" ht="34" customHeight="1" spans="1:9" x14ac:dyDescent="0.25">
      <c r="A4" s="11" t="s">
        <v>58</v>
      </c>
      <c r="B4" s="11" t="s">
        <v>59</v>
      </c>
      <c r="C4" s="11" t="s">
        <v>90</v>
      </c>
      <c r="D4" s="11" t="s">
        <v>91</v>
      </c>
      <c r="E4" s="11" t="s">
        <v>92</v>
      </c>
      <c r="F4" s="11" t="s">
        <v>93</v>
      </c>
      <c r="G4" s="11" t="s">
        <v>94</v>
      </c>
      <c r="H4" s="11" t="s">
        <v>95</v>
      </c>
      <c r="I4" s="11" t="s">
        <v>96</v>
      </c>
    </row>
    <row r="5" spans="1:9" x14ac:dyDescent="0.25">
      <c r="A5" s="12">
        <v>46137</v>
      </c>
      <c r="B5" s="13" t="s">
        <v>67</v>
      </c>
      <c r="C5" s="13" t="s">
        <v>97</v>
      </c>
      <c r="D5" s="21">
        <v>48</v>
      </c>
      <c r="E5" s="14">
        <v>5040</v>
      </c>
      <c r="F5" s="15">
        <v>150</v>
      </c>
      <c r="G5" s="16">
        <f>IF(AND(E5="",F5=""),"",IF(OR(E5="",F5=""),"falta dato",E5*F5))</f>
      </c>
      <c r="H5" s="15">
        <v>14400</v>
      </c>
      <c r="I5" s="16">
        <f>IF(G5="","",IF(ISNUMBER(G5),G5-IF(H5="",0,H5),"falta dato"))</f>
      </c>
    </row>
    <row r="6" spans="1:9" x14ac:dyDescent="0.25">
      <c r="A6" s="12">
        <v>46164</v>
      </c>
      <c r="B6" s="13" t="s">
        <v>85</v>
      </c>
      <c r="C6" s="13" t="s">
        <v>98</v>
      </c>
      <c r="D6" s="21">
        <v>19</v>
      </c>
      <c r="E6" s="14">
        <v>1900</v>
      </c>
      <c r="F6" s="15">
        <v>150</v>
      </c>
      <c r="G6" s="16">
        <f>IF(AND(E6="",F6=""),"",IF(OR(E6="",F6=""),"falta dato",E6*F6))</f>
      </c>
      <c r="H6" s="15">
        <v>11400</v>
      </c>
      <c r="I6" s="16">
        <f>IF(G6="","",IF(ISNUMBER(G6),G6-IF(H6="",0,H6),"falta dato"))</f>
      </c>
    </row>
    <row r="7" spans="1:9" x14ac:dyDescent="0.25">
      <c r="A7" s="17"/>
      <c r="B7" s="18"/>
      <c r="C7" s="18"/>
      <c r="D7" s="22"/>
      <c r="E7" s="19"/>
      <c r="F7" s="20"/>
      <c r="G7" s="16">
        <f>IF(AND(E7="",F7=""),"",IF(OR(E7="",F7=""),"falta dato",E7*F7))</f>
      </c>
      <c r="H7" s="20"/>
      <c r="I7" s="16">
        <f>IF(G7="","",IF(ISNUMBER(G7),G7-IF(H7="",0,H7),"falta dato"))</f>
      </c>
    </row>
    <row r="8" spans="1:9" x14ac:dyDescent="0.25">
      <c r="A8" s="17"/>
      <c r="B8" s="18"/>
      <c r="C8" s="18"/>
      <c r="D8" s="22"/>
      <c r="E8" s="19"/>
      <c r="F8" s="20"/>
      <c r="G8" s="16">
        <f>IF(AND(E8="",F8=""),"",IF(OR(E8="",F8=""),"falta dato",E8*F8))</f>
      </c>
      <c r="H8" s="20"/>
      <c r="I8" s="16">
        <f>IF(G8="","",IF(ISNUMBER(G8),G8-IF(H8="",0,H8),"falta dato"))</f>
      </c>
    </row>
    <row r="9" spans="1:9" x14ac:dyDescent="0.25">
      <c r="A9" s="17"/>
      <c r="B9" s="18"/>
      <c r="C9" s="18"/>
      <c r="D9" s="22"/>
      <c r="E9" s="19"/>
      <c r="F9" s="20"/>
      <c r="G9" s="16">
        <f>IF(AND(E9="",F9=""),"",IF(OR(E9="",F9=""),"falta dato",E9*F9))</f>
      </c>
      <c r="H9" s="20"/>
      <c r="I9" s="16">
        <f>IF(G9="","",IF(ISNUMBER(G9),G9-IF(H9="",0,H9),"falta dato"))</f>
      </c>
    </row>
    <row r="10" spans="1:9" x14ac:dyDescent="0.25">
      <c r="A10" s="17"/>
      <c r="B10" s="18"/>
      <c r="C10" s="18"/>
      <c r="D10" s="22"/>
      <c r="E10" s="19"/>
      <c r="F10" s="20"/>
      <c r="G10" s="16">
        <f>IF(AND(E10="",F10=""),"",IF(OR(E10="",F10=""),"falta dato",E10*F10))</f>
      </c>
      <c r="H10" s="20"/>
      <c r="I10" s="16">
        <f>IF(G10="","",IF(ISNUMBER(G10),G10-IF(H10="",0,H10),"falta dato"))</f>
      </c>
    </row>
    <row r="11" spans="1:9" x14ac:dyDescent="0.25">
      <c r="A11" s="17"/>
      <c r="B11" s="18"/>
      <c r="C11" s="18"/>
      <c r="D11" s="22"/>
      <c r="E11" s="19"/>
      <c r="F11" s="20"/>
      <c r="G11" s="16">
        <f>IF(AND(E11="",F11=""),"",IF(OR(E11="",F11=""),"falta dato",E11*F11))</f>
      </c>
      <c r="H11" s="20"/>
      <c r="I11" s="16">
        <f>IF(G11="","",IF(ISNUMBER(G11),G11-IF(H11="",0,H11),"falta dato"))</f>
      </c>
    </row>
    <row r="12" spans="1:9" x14ac:dyDescent="0.25">
      <c r="A12" s="17"/>
      <c r="B12" s="18"/>
      <c r="C12" s="18"/>
      <c r="D12" s="22"/>
      <c r="E12" s="19"/>
      <c r="F12" s="20"/>
      <c r="G12" s="16">
        <f>IF(AND(E12="",F12=""),"",IF(OR(E12="",F12=""),"falta dato",E12*F12))</f>
      </c>
      <c r="H12" s="20"/>
      <c r="I12" s="16">
        <f>IF(G12="","",IF(ISNUMBER(G12),G12-IF(H12="",0,H12),"falta dato"))</f>
      </c>
    </row>
    <row r="13" spans="1:9" x14ac:dyDescent="0.25">
      <c r="A13" s="17"/>
      <c r="B13" s="18"/>
      <c r="C13" s="18"/>
      <c r="D13" s="22"/>
      <c r="E13" s="19"/>
      <c r="F13" s="20"/>
      <c r="G13" s="16">
        <f>IF(AND(E13="",F13=""),"",IF(OR(E13="",F13=""),"falta dato",E13*F13))</f>
      </c>
      <c r="H13" s="20"/>
      <c r="I13" s="16">
        <f>IF(G13="","",IF(ISNUMBER(G13),G13-IF(H13="",0,H13),"falta dato"))</f>
      </c>
    </row>
    <row r="14" spans="1:9" x14ac:dyDescent="0.25">
      <c r="A14" s="17"/>
      <c r="B14" s="18"/>
      <c r="C14" s="18"/>
      <c r="D14" s="22"/>
      <c r="E14" s="19"/>
      <c r="F14" s="20"/>
      <c r="G14" s="16">
        <f>IF(AND(E14="",F14=""),"",IF(OR(E14="",F14=""),"falta dato",E14*F14))</f>
      </c>
      <c r="H14" s="20"/>
      <c r="I14" s="16">
        <f>IF(G14="","",IF(ISNUMBER(G14),G14-IF(H14="",0,H14),"falta dato"))</f>
      </c>
    </row>
    <row r="15" spans="1:9" x14ac:dyDescent="0.25">
      <c r="A15" s="17"/>
      <c r="B15" s="18"/>
      <c r="C15" s="18"/>
      <c r="D15" s="22"/>
      <c r="E15" s="19"/>
      <c r="F15" s="20"/>
      <c r="G15" s="16">
        <f>IF(AND(E15="",F15=""),"",IF(OR(E15="",F15=""),"falta dato",E15*F15))</f>
      </c>
      <c r="H15" s="20"/>
      <c r="I15" s="16">
        <f>IF(G15="","",IF(ISNUMBER(G15),G15-IF(H15="",0,H15),"falta dato"))</f>
      </c>
    </row>
    <row r="16" spans="1:9" x14ac:dyDescent="0.25">
      <c r="A16" s="17"/>
      <c r="B16" s="18"/>
      <c r="C16" s="18"/>
      <c r="D16" s="22"/>
      <c r="E16" s="19"/>
      <c r="F16" s="20"/>
      <c r="G16" s="16">
        <f>IF(AND(E16="",F16=""),"",IF(OR(E16="",F16=""),"falta dato",E16*F16))</f>
      </c>
      <c r="H16" s="20"/>
      <c r="I16" s="16">
        <f>IF(G16="","",IF(ISNUMBER(G16),G16-IF(H16="",0,H16),"falta dato"))</f>
      </c>
    </row>
    <row r="17" spans="1:9" x14ac:dyDescent="0.25">
      <c r="A17" s="17"/>
      <c r="B17" s="18"/>
      <c r="C17" s="18"/>
      <c r="D17" s="22"/>
      <c r="E17" s="19"/>
      <c r="F17" s="20"/>
      <c r="G17" s="16">
        <f>IF(AND(E17="",F17=""),"",IF(OR(E17="",F17=""),"falta dato",E17*F17))</f>
      </c>
      <c r="H17" s="20"/>
      <c r="I17" s="16">
        <f>IF(G17="","",IF(ISNUMBER(G17),G17-IF(H17="",0,H17),"falta dato"))</f>
      </c>
    </row>
    <row r="18" spans="1:9" x14ac:dyDescent="0.25">
      <c r="A18" s="17"/>
      <c r="B18" s="18"/>
      <c r="C18" s="18"/>
      <c r="D18" s="22"/>
      <c r="E18" s="19"/>
      <c r="F18" s="20"/>
      <c r="G18" s="16">
        <f>IF(AND(E18="",F18=""),"",IF(OR(E18="",F18=""),"falta dato",E18*F18))</f>
      </c>
      <c r="H18" s="20"/>
      <c r="I18" s="16">
        <f>IF(G18="","",IF(ISNUMBER(G18),G18-IF(H18="",0,H18),"falta dato"))</f>
      </c>
    </row>
    <row r="19" spans="1:9" x14ac:dyDescent="0.25">
      <c r="A19" s="17"/>
      <c r="B19" s="18"/>
      <c r="C19" s="18"/>
      <c r="D19" s="22"/>
      <c r="E19" s="19"/>
      <c r="F19" s="20"/>
      <c r="G19" s="16">
        <f>IF(AND(E19="",F19=""),"",IF(OR(E19="",F19=""),"falta dato",E19*F19))</f>
      </c>
      <c r="H19" s="20"/>
      <c r="I19" s="16">
        <f>IF(G19="","",IF(ISNUMBER(G19),G19-IF(H19="",0,H19),"falta dato"))</f>
      </c>
    </row>
    <row r="20" spans="1:9" x14ac:dyDescent="0.25">
      <c r="A20" s="17"/>
      <c r="B20" s="18"/>
      <c r="C20" s="18"/>
      <c r="D20" s="22"/>
      <c r="E20" s="19"/>
      <c r="F20" s="20"/>
      <c r="G20" s="16">
        <f>IF(AND(E20="",F20=""),"",IF(OR(E20="",F20=""),"falta dato",E20*F20))</f>
      </c>
      <c r="H20" s="20"/>
      <c r="I20" s="16">
        <f>IF(G20="","",IF(ISNUMBER(G20),G20-IF(H20="",0,H20),"falta dato"))</f>
      </c>
    </row>
    <row r="21" spans="1:9" x14ac:dyDescent="0.25">
      <c r="A21" s="17"/>
      <c r="B21" s="18"/>
      <c r="C21" s="18"/>
      <c r="D21" s="22"/>
      <c r="E21" s="19"/>
      <c r="F21" s="20"/>
      <c r="G21" s="16">
        <f>IF(AND(E21="",F21=""),"",IF(OR(E21="",F21=""),"falta dato",E21*F21))</f>
      </c>
      <c r="H21" s="20"/>
      <c r="I21" s="16">
        <f>IF(G21="","",IF(ISNUMBER(G21),G21-IF(H21="",0,H21),"falta dato"))</f>
      </c>
    </row>
    <row r="22" spans="1:9" x14ac:dyDescent="0.25">
      <c r="A22" s="17"/>
      <c r="B22" s="18"/>
      <c r="C22" s="18"/>
      <c r="D22" s="22"/>
      <c r="E22" s="19"/>
      <c r="F22" s="20"/>
      <c r="G22" s="16">
        <f>IF(AND(E22="",F22=""),"",IF(OR(E22="",F22=""),"falta dato",E22*F22))</f>
      </c>
      <c r="H22" s="20"/>
      <c r="I22" s="16">
        <f>IF(G22="","",IF(ISNUMBER(G22),G22-IF(H22="",0,H22),"falta dato"))</f>
      </c>
    </row>
    <row r="23" spans="1:9" x14ac:dyDescent="0.25">
      <c r="A23" s="17"/>
      <c r="B23" s="18"/>
      <c r="C23" s="18"/>
      <c r="D23" s="22"/>
      <c r="E23" s="19"/>
      <c r="F23" s="20"/>
      <c r="G23" s="16">
        <f>IF(AND(E23="",F23=""),"",IF(OR(E23="",F23=""),"falta dato",E23*F23))</f>
      </c>
      <c r="H23" s="20"/>
      <c r="I23" s="16">
        <f>IF(G23="","",IF(ISNUMBER(G23),G23-IF(H23="",0,H23),"falta dato"))</f>
      </c>
    </row>
    <row r="24" spans="1:9" x14ac:dyDescent="0.25">
      <c r="A24" s="17"/>
      <c r="B24" s="18"/>
      <c r="C24" s="18"/>
      <c r="D24" s="22"/>
      <c r="E24" s="19"/>
      <c r="F24" s="20"/>
      <c r="G24" s="16">
        <f>IF(AND(E24="",F24=""),"",IF(OR(E24="",F24=""),"falta dato",E24*F24))</f>
      </c>
      <c r="H24" s="20"/>
      <c r="I24" s="16">
        <f>IF(G24="","",IF(ISNUMBER(G24),G24-IF(H24="",0,H24),"falta dato"))</f>
      </c>
    </row>
    <row r="25" spans="1:9" x14ac:dyDescent="0.25">
      <c r="A25" s="17"/>
      <c r="B25" s="18"/>
      <c r="C25" s="18"/>
      <c r="D25" s="22"/>
      <c r="E25" s="19"/>
      <c r="F25" s="20"/>
      <c r="G25" s="16">
        <f>IF(AND(E25="",F25=""),"",IF(OR(E25="",F25=""),"falta dato",E25*F25))</f>
      </c>
      <c r="H25" s="20"/>
      <c r="I25" s="16">
        <f>IF(G25="","",IF(ISNUMBER(G25),G25-IF(H25="",0,H25),"falta dato"))</f>
      </c>
    </row>
    <row r="26" spans="1:9" x14ac:dyDescent="0.25">
      <c r="A26" s="17"/>
      <c r="B26" s="18"/>
      <c r="C26" s="18"/>
      <c r="D26" s="22"/>
      <c r="E26" s="19"/>
      <c r="F26" s="20"/>
      <c r="G26" s="16">
        <f>IF(AND(E26="",F26=""),"",IF(OR(E26="",F26=""),"falta dato",E26*F26))</f>
      </c>
      <c r="H26" s="20"/>
      <c r="I26" s="16">
        <f>IF(G26="","",IF(ISNUMBER(G26),G26-IF(H26="",0,H26),"falta dato"))</f>
      </c>
    </row>
    <row r="27" spans="1:9" x14ac:dyDescent="0.25">
      <c r="A27" s="17"/>
      <c r="B27" s="18"/>
      <c r="C27" s="18"/>
      <c r="D27" s="22"/>
      <c r="E27" s="19"/>
      <c r="F27" s="20"/>
      <c r="G27" s="16">
        <f>IF(AND(E27="",F27=""),"",IF(OR(E27="",F27=""),"falta dato",E27*F27))</f>
      </c>
      <c r="H27" s="20"/>
      <c r="I27" s="16">
        <f>IF(G27="","",IF(ISNUMBER(G27),G27-IF(H27="",0,H27),"falta dato"))</f>
      </c>
    </row>
    <row r="28" spans="1:9" x14ac:dyDescent="0.25">
      <c r="A28" s="17"/>
      <c r="B28" s="18"/>
      <c r="C28" s="18"/>
      <c r="D28" s="22"/>
      <c r="E28" s="19"/>
      <c r="F28" s="20"/>
      <c r="G28" s="16">
        <f>IF(AND(E28="",F28=""),"",IF(OR(E28="",F28=""),"falta dato",E28*F28))</f>
      </c>
      <c r="H28" s="20"/>
      <c r="I28" s="16">
        <f>IF(G28="","",IF(ISNUMBER(G28),G28-IF(H28="",0,H28),"falta dato"))</f>
      </c>
    </row>
    <row r="29" spans="1:9" x14ac:dyDescent="0.25">
      <c r="A29" s="17"/>
      <c r="B29" s="18"/>
      <c r="C29" s="18"/>
      <c r="D29" s="22"/>
      <c r="E29" s="19"/>
      <c r="F29" s="20"/>
      <c r="G29" s="16">
        <f>IF(AND(E29="",F29=""),"",IF(OR(E29="",F29=""),"falta dato",E29*F29))</f>
      </c>
      <c r="H29" s="20"/>
      <c r="I29" s="16">
        <f>IF(G29="","",IF(ISNUMBER(G29),G29-IF(H29="",0,H29),"falta dato"))</f>
      </c>
    </row>
    <row r="30" spans="1:9" x14ac:dyDescent="0.25">
      <c r="A30" s="17"/>
      <c r="B30" s="18"/>
      <c r="C30" s="18"/>
      <c r="D30" s="22"/>
      <c r="E30" s="19"/>
      <c r="F30" s="20"/>
      <c r="G30" s="16">
        <f>IF(AND(E30="",F30=""),"",IF(OR(E30="",F30=""),"falta dato",E30*F30))</f>
      </c>
      <c r="H30" s="20"/>
      <c r="I30" s="16">
        <f>IF(G30="","",IF(ISNUMBER(G30),G30-IF(H30="",0,H30),"falta dato"))</f>
      </c>
    </row>
    <row r="31" spans="1:9" x14ac:dyDescent="0.25">
      <c r="A31" s="17"/>
      <c r="B31" s="18"/>
      <c r="C31" s="18"/>
      <c r="D31" s="22"/>
      <c r="E31" s="19"/>
      <c r="F31" s="20"/>
      <c r="G31" s="16">
        <f>IF(AND(E31="",F31=""),"",IF(OR(E31="",F31=""),"falta dato",E31*F31))</f>
      </c>
      <c r="H31" s="20"/>
      <c r="I31" s="16">
        <f>IF(G31="","",IF(ISNUMBER(G31),G31-IF(H31="",0,H31),"falta dato"))</f>
      </c>
    </row>
    <row r="32" spans="1:9" x14ac:dyDescent="0.25">
      <c r="A32" s="17"/>
      <c r="B32" s="18"/>
      <c r="C32" s="18"/>
      <c r="D32" s="22"/>
      <c r="E32" s="19"/>
      <c r="F32" s="20"/>
      <c r="G32" s="16">
        <f>IF(AND(E32="",F32=""),"",IF(OR(E32="",F32=""),"falta dato",E32*F32))</f>
      </c>
      <c r="H32" s="20"/>
      <c r="I32" s="16">
        <f>IF(G32="","",IF(ISNUMBER(G32),G32-IF(H32="",0,H32),"falta dato"))</f>
      </c>
    </row>
    <row r="33" spans="1:9" x14ac:dyDescent="0.25">
      <c r="A33" s="17"/>
      <c r="B33" s="18"/>
      <c r="C33" s="18"/>
      <c r="D33" s="22"/>
      <c r="E33" s="19"/>
      <c r="F33" s="20"/>
      <c r="G33" s="16">
        <f>IF(AND(E33="",F33=""),"",IF(OR(E33="",F33=""),"falta dato",E33*F33))</f>
      </c>
      <c r="H33" s="20"/>
      <c r="I33" s="16">
        <f>IF(G33="","",IF(ISNUMBER(G33),G33-IF(H33="",0,H33),"falta dato"))</f>
      </c>
    </row>
    <row r="34" spans="1:9" x14ac:dyDescent="0.25">
      <c r="A34" s="17"/>
      <c r="B34" s="18"/>
      <c r="C34" s="18"/>
      <c r="D34" s="22"/>
      <c r="E34" s="19"/>
      <c r="F34" s="20"/>
      <c r="G34" s="16">
        <f>IF(AND(E34="",F34=""),"",IF(OR(E34="",F34=""),"falta dato",E34*F34))</f>
      </c>
      <c r="H34" s="20"/>
      <c r="I34" s="16">
        <f>IF(G34="","",IF(ISNUMBER(G34),G34-IF(H34="",0,H34),"falta dato"))</f>
      </c>
    </row>
    <row r="35" spans="1:9" x14ac:dyDescent="0.25">
      <c r="A35" s="17"/>
      <c r="B35" s="18"/>
      <c r="C35" s="18"/>
      <c r="D35" s="22"/>
      <c r="E35" s="19"/>
      <c r="F35" s="20"/>
      <c r="G35" s="16">
        <f>IF(AND(E35="",F35=""),"",IF(OR(E35="",F35=""),"falta dato",E35*F35))</f>
      </c>
      <c r="H35" s="20"/>
      <c r="I35" s="16">
        <f>IF(G35="","",IF(ISNUMBER(G35),G35-IF(H35="",0,H35),"falta dato"))</f>
      </c>
    </row>
    <row r="36" spans="1:9" x14ac:dyDescent="0.25">
      <c r="A36" s="17"/>
      <c r="B36" s="18"/>
      <c r="C36" s="18"/>
      <c r="D36" s="22"/>
      <c r="E36" s="19"/>
      <c r="F36" s="20"/>
      <c r="G36" s="16">
        <f>IF(AND(E36="",F36=""),"",IF(OR(E36="",F36=""),"falta dato",E36*F36))</f>
      </c>
      <c r="H36" s="20"/>
      <c r="I36" s="16">
        <f>IF(G36="","",IF(ISNUMBER(G36),G36-IF(H36="",0,H36),"falta dato"))</f>
      </c>
    </row>
    <row r="37" spans="1:9" x14ac:dyDescent="0.25">
      <c r="A37" s="17"/>
      <c r="B37" s="18"/>
      <c r="C37" s="18"/>
      <c r="D37" s="22"/>
      <c r="E37" s="19"/>
      <c r="F37" s="20"/>
      <c r="G37" s="16">
        <f>IF(AND(E37="",F37=""),"",IF(OR(E37="",F37=""),"falta dato",E37*F37))</f>
      </c>
      <c r="H37" s="20"/>
      <c r="I37" s="16">
        <f>IF(G37="","",IF(ISNUMBER(G37),G37-IF(H37="",0,H37),"falta dato"))</f>
      </c>
    </row>
    <row r="38" spans="1:9" x14ac:dyDescent="0.25">
      <c r="A38" s="17"/>
      <c r="B38" s="18"/>
      <c r="C38" s="18"/>
      <c r="D38" s="22"/>
      <c r="E38" s="19"/>
      <c r="F38" s="20"/>
      <c r="G38" s="16">
        <f>IF(AND(E38="",F38=""),"",IF(OR(E38="",F38=""),"falta dato",E38*F38))</f>
      </c>
      <c r="H38" s="20"/>
      <c r="I38" s="16">
        <f>IF(G38="","",IF(ISNUMBER(G38),G38-IF(H38="",0,H38),"falta dato"))</f>
      </c>
    </row>
    <row r="39" spans="1:9" x14ac:dyDescent="0.25">
      <c r="A39" s="17"/>
      <c r="B39" s="18"/>
      <c r="C39" s="18"/>
      <c r="D39" s="22"/>
      <c r="E39" s="19"/>
      <c r="F39" s="20"/>
      <c r="G39" s="16">
        <f>IF(AND(E39="",F39=""),"",IF(OR(E39="",F39=""),"falta dato",E39*F39))</f>
      </c>
      <c r="H39" s="20"/>
      <c r="I39" s="16">
        <f>IF(G39="","",IF(ISNUMBER(G39),G39-IF(H39="",0,H39),"falta dato"))</f>
      </c>
    </row>
    <row r="40" spans="1:9" x14ac:dyDescent="0.25">
      <c r="A40" s="17"/>
      <c r="B40" s="18"/>
      <c r="C40" s="18"/>
      <c r="D40" s="22"/>
      <c r="E40" s="19"/>
      <c r="F40" s="20"/>
      <c r="G40" s="16">
        <f>IF(AND(E40="",F40=""),"",IF(OR(E40="",F40=""),"falta dato",E40*F40))</f>
      </c>
      <c r="H40" s="20"/>
      <c r="I40" s="16">
        <f>IF(G40="","",IF(ISNUMBER(G40),G40-IF(H40="",0,H40),"falta dato"))</f>
      </c>
    </row>
    <row r="41" spans="1:9" x14ac:dyDescent="0.25">
      <c r="A41" s="17"/>
      <c r="B41" s="18"/>
      <c r="C41" s="18"/>
      <c r="D41" s="22"/>
      <c r="E41" s="19"/>
      <c r="F41" s="20"/>
      <c r="G41" s="16">
        <f>IF(AND(E41="",F41=""),"",IF(OR(E41="",F41=""),"falta dato",E41*F41))</f>
      </c>
      <c r="H41" s="20"/>
      <c r="I41" s="16">
        <f>IF(G41="","",IF(ISNUMBER(G41),G41-IF(H41="",0,H41),"falta dato"))</f>
      </c>
    </row>
    <row r="42" spans="1:9" x14ac:dyDescent="0.25">
      <c r="A42" s="17"/>
      <c r="B42" s="18"/>
      <c r="C42" s="18"/>
      <c r="D42" s="22"/>
      <c r="E42" s="19"/>
      <c r="F42" s="20"/>
      <c r="G42" s="16">
        <f>IF(AND(E42="",F42=""),"",IF(OR(E42="",F42=""),"falta dato",E42*F42))</f>
      </c>
      <c r="H42" s="20"/>
      <c r="I42" s="16">
        <f>IF(G42="","",IF(ISNUMBER(G42),G42-IF(H42="",0,H42),"falta dato"))</f>
      </c>
    </row>
    <row r="43" spans="1:9" x14ac:dyDescent="0.25">
      <c r="A43" s="17"/>
      <c r="B43" s="18"/>
      <c r="C43" s="18"/>
      <c r="D43" s="22"/>
      <c r="E43" s="19"/>
      <c r="F43" s="20"/>
      <c r="G43" s="16">
        <f>IF(AND(E43="",F43=""),"",IF(OR(E43="",F43=""),"falta dato",E43*F43))</f>
      </c>
      <c r="H43" s="20"/>
      <c r="I43" s="16">
        <f>IF(G43="","",IF(ISNUMBER(G43),G43-IF(H43="",0,H43),"falta dato"))</f>
      </c>
    </row>
    <row r="44" spans="1:9" x14ac:dyDescent="0.25">
      <c r="A44" s="17"/>
      <c r="B44" s="18"/>
      <c r="C44" s="18"/>
      <c r="D44" s="22"/>
      <c r="E44" s="19"/>
      <c r="F44" s="20"/>
      <c r="G44" s="16">
        <f>IF(AND(E44="",F44=""),"",IF(OR(E44="",F44=""),"falta dato",E44*F44))</f>
      </c>
      <c r="H44" s="20"/>
      <c r="I44" s="16">
        <f>IF(G44="","",IF(ISNUMBER(G44),G44-IF(H44="",0,H44),"falta dato"))</f>
      </c>
    </row>
    <row r="45" spans="1:9" x14ac:dyDescent="0.25">
      <c r="A45" s="17"/>
      <c r="B45" s="18"/>
      <c r="C45" s="18"/>
      <c r="D45" s="22"/>
      <c r="E45" s="19"/>
      <c r="F45" s="20"/>
      <c r="G45" s="16">
        <f>IF(AND(E45="",F45=""),"",IF(OR(E45="",F45=""),"falta dato",E45*F45))</f>
      </c>
      <c r="H45" s="20"/>
      <c r="I45" s="16">
        <f>IF(G45="","",IF(ISNUMBER(G45),G45-IF(H45="",0,H45),"falta dato"))</f>
      </c>
    </row>
    <row r="46" spans="1:9" x14ac:dyDescent="0.25">
      <c r="A46" s="17"/>
      <c r="B46" s="18"/>
      <c r="C46" s="18"/>
      <c r="D46" s="22"/>
      <c r="E46" s="19"/>
      <c r="F46" s="20"/>
      <c r="G46" s="16">
        <f>IF(AND(E46="",F46=""),"",IF(OR(E46="",F46=""),"falta dato",E46*F46))</f>
      </c>
      <c r="H46" s="20"/>
      <c r="I46" s="16">
        <f>IF(G46="","",IF(ISNUMBER(G46),G46-IF(H46="",0,H46),"falta dato"))</f>
      </c>
    </row>
    <row r="47" spans="1:9" x14ac:dyDescent="0.25">
      <c r="A47" s="17"/>
      <c r="B47" s="18"/>
      <c r="C47" s="18"/>
      <c r="D47" s="22"/>
      <c r="E47" s="19"/>
      <c r="F47" s="20"/>
      <c r="G47" s="16">
        <f>IF(AND(E47="",F47=""),"",IF(OR(E47="",F47=""),"falta dato",E47*F47))</f>
      </c>
      <c r="H47" s="20"/>
      <c r="I47" s="16">
        <f>IF(G47="","",IF(ISNUMBER(G47),G47-IF(H47="",0,H47),"falta dato"))</f>
      </c>
    </row>
    <row r="48" spans="1:9" x14ac:dyDescent="0.25">
      <c r="A48" s="17"/>
      <c r="B48" s="18"/>
      <c r="C48" s="18"/>
      <c r="D48" s="22"/>
      <c r="E48" s="19"/>
      <c r="F48" s="20"/>
      <c r="G48" s="16">
        <f>IF(AND(E48="",F48=""),"",IF(OR(E48="",F48=""),"falta dato",E48*F48))</f>
      </c>
      <c r="H48" s="20"/>
      <c r="I48" s="16">
        <f>IF(G48="","",IF(ISNUMBER(G48),G48-IF(H48="",0,H48),"falta dato"))</f>
      </c>
    </row>
    <row r="49" spans="1:9" x14ac:dyDescent="0.25">
      <c r="A49" s="17"/>
      <c r="B49" s="18"/>
      <c r="C49" s="18"/>
      <c r="D49" s="22"/>
      <c r="E49" s="19"/>
      <c r="F49" s="20"/>
      <c r="G49" s="16">
        <f>IF(AND(E49="",F49=""),"",IF(OR(E49="",F49=""),"falta dato",E49*F49))</f>
      </c>
      <c r="H49" s="20"/>
      <c r="I49" s="16">
        <f>IF(G49="","",IF(ISNUMBER(G49),G49-IF(H49="",0,H49),"falta dato"))</f>
      </c>
    </row>
    <row r="50" spans="1:9" x14ac:dyDescent="0.25">
      <c r="A50" s="17"/>
      <c r="B50" s="18"/>
      <c r="C50" s="18"/>
      <c r="D50" s="22"/>
      <c r="E50" s="19"/>
      <c r="F50" s="20"/>
      <c r="G50" s="16">
        <f>IF(AND(E50="",F50=""),"",IF(OR(E50="",F50=""),"falta dato",E50*F50))</f>
      </c>
      <c r="H50" s="20"/>
      <c r="I50" s="16">
        <f>IF(G50="","",IF(ISNUMBER(G50),G50-IF(H50="",0,H50),"falta dato"))</f>
      </c>
    </row>
    <row r="51" spans="1:9" x14ac:dyDescent="0.25">
      <c r="A51" s="17"/>
      <c r="B51" s="18"/>
      <c r="C51" s="18"/>
      <c r="D51" s="22"/>
      <c r="E51" s="19"/>
      <c r="F51" s="20"/>
      <c r="G51" s="16">
        <f>IF(AND(E51="",F51=""),"",IF(OR(E51="",F51=""),"falta dato",E51*F51))</f>
      </c>
      <c r="H51" s="20"/>
      <c r="I51" s="16">
        <f>IF(G51="","",IF(ISNUMBER(G51),G51-IF(H51="",0,H51),"falta dato"))</f>
      </c>
    </row>
    <row r="52" spans="1:9" x14ac:dyDescent="0.25">
      <c r="A52" s="17"/>
      <c r="B52" s="18"/>
      <c r="C52" s="18"/>
      <c r="D52" s="22"/>
      <c r="E52" s="19"/>
      <c r="F52" s="20"/>
      <c r="G52" s="16">
        <f>IF(AND(E52="",F52=""),"",IF(OR(E52="",F52=""),"falta dato",E52*F52))</f>
      </c>
      <c r="H52" s="20"/>
      <c r="I52" s="16">
        <f>IF(G52="","",IF(ISNUMBER(G52),G52-IF(H52="",0,H52),"falta dato"))</f>
      </c>
    </row>
    <row r="53" spans="1:9" x14ac:dyDescent="0.25">
      <c r="A53" s="17"/>
      <c r="B53" s="18"/>
      <c r="C53" s="18"/>
      <c r="D53" s="22"/>
      <c r="E53" s="19"/>
      <c r="F53" s="20"/>
      <c r="G53" s="16">
        <f>IF(AND(E53="",F53=""),"",IF(OR(E53="",F53=""),"falta dato",E53*F53))</f>
      </c>
      <c r="H53" s="20"/>
      <c r="I53" s="16">
        <f>IF(G53="","",IF(ISNUMBER(G53),G53-IF(H53="",0,H53),"falta dato"))</f>
      </c>
    </row>
    <row r="54" spans="1:9" x14ac:dyDescent="0.25">
      <c r="A54" s="17"/>
      <c r="B54" s="18"/>
      <c r="C54" s="18"/>
      <c r="D54" s="22"/>
      <c r="E54" s="19"/>
      <c r="F54" s="20"/>
      <c r="G54" s="16">
        <f>IF(AND(E54="",F54=""),"",IF(OR(E54="",F54=""),"falta dato",E54*F54))</f>
      </c>
      <c r="H54" s="20"/>
      <c r="I54" s="16">
        <f>IF(G54="","",IF(ISNUMBER(G54),G54-IF(H54="",0,H54),"falta dato"))</f>
      </c>
    </row>
    <row r="55" spans="1:9" x14ac:dyDescent="0.25">
      <c r="A55" s="17"/>
      <c r="B55" s="18"/>
      <c r="C55" s="18"/>
      <c r="D55" s="22"/>
      <c r="E55" s="19"/>
      <c r="F55" s="20"/>
      <c r="G55" s="16">
        <f>IF(AND(E55="",F55=""),"",IF(OR(E55="",F55=""),"falta dato",E55*F55))</f>
      </c>
      <c r="H55" s="20"/>
      <c r="I55" s="16">
        <f>IF(G55="","",IF(ISNUMBER(G55),G55-IF(H55="",0,H55),"falta dato"))</f>
      </c>
    </row>
    <row r="56" spans="1:9" x14ac:dyDescent="0.25">
      <c r="A56" s="17"/>
      <c r="B56" s="18"/>
      <c r="C56" s="18"/>
      <c r="D56" s="22"/>
      <c r="E56" s="19"/>
      <c r="F56" s="20"/>
      <c r="G56" s="16">
        <f>IF(AND(E56="",F56=""),"",IF(OR(E56="",F56=""),"falta dato",E56*F56))</f>
      </c>
      <c r="H56" s="20"/>
      <c r="I56" s="16">
        <f>IF(G56="","",IF(ISNUMBER(G56),G56-IF(H56="",0,H56),"falta dato"))</f>
      </c>
    </row>
    <row r="57" spans="1:9" x14ac:dyDescent="0.25">
      <c r="A57" s="17"/>
      <c r="B57" s="18"/>
      <c r="C57" s="18"/>
      <c r="D57" s="22"/>
      <c r="E57" s="19"/>
      <c r="F57" s="20"/>
      <c r="G57" s="16">
        <f>IF(AND(E57="",F57=""),"",IF(OR(E57="",F57=""),"falta dato",E57*F57))</f>
      </c>
      <c r="H57" s="20"/>
      <c r="I57" s="16">
        <f>IF(G57="","",IF(ISNUMBER(G57),G57-IF(H57="",0,H57),"falta dato"))</f>
      </c>
    </row>
    <row r="58" spans="1:9" x14ac:dyDescent="0.25">
      <c r="A58" s="17"/>
      <c r="B58" s="18"/>
      <c r="C58" s="18"/>
      <c r="D58" s="22"/>
      <c r="E58" s="19"/>
      <c r="F58" s="20"/>
      <c r="G58" s="16">
        <f>IF(AND(E58="",F58=""),"",IF(OR(E58="",F58=""),"falta dato",E58*F58))</f>
      </c>
      <c r="H58" s="20"/>
      <c r="I58" s="16">
        <f>IF(G58="","",IF(ISNUMBER(G58),G58-IF(H58="",0,H58),"falta dato"))</f>
      </c>
    </row>
    <row r="59" spans="1:9" x14ac:dyDescent="0.25">
      <c r="A59" s="17"/>
      <c r="B59" s="18"/>
      <c r="C59" s="18"/>
      <c r="D59" s="22"/>
      <c r="E59" s="19"/>
      <c r="F59" s="20"/>
      <c r="G59" s="16">
        <f>IF(AND(E59="",F59=""),"",IF(OR(E59="",F59=""),"falta dato",E59*F59))</f>
      </c>
      <c r="H59" s="20"/>
      <c r="I59" s="16">
        <f>IF(G59="","",IF(ISNUMBER(G59),G59-IF(H59="",0,H59),"falta dato"))</f>
      </c>
    </row>
    <row r="60" spans="1:9" x14ac:dyDescent="0.25">
      <c r="A60" s="17"/>
      <c r="B60" s="18"/>
      <c r="C60" s="18"/>
      <c r="D60" s="22"/>
      <c r="E60" s="19"/>
      <c r="F60" s="20"/>
      <c r="G60" s="16">
        <f>IF(AND(E60="",F60=""),"",IF(OR(E60="",F60=""),"falta dato",E60*F60))</f>
      </c>
      <c r="H60" s="20"/>
      <c r="I60" s="16">
        <f>IF(G60="","",IF(ISNUMBER(G60),G60-IF(H60="",0,H60),"falta dato"))</f>
      </c>
    </row>
    <row r="61" spans="1:9" x14ac:dyDescent="0.25">
      <c r="A61" s="17"/>
      <c r="B61" s="18"/>
      <c r="C61" s="18"/>
      <c r="D61" s="22"/>
      <c r="E61" s="19"/>
      <c r="F61" s="20"/>
      <c r="G61" s="16">
        <f>IF(AND(E61="",F61=""),"",IF(OR(E61="",F61=""),"falta dato",E61*F61))</f>
      </c>
      <c r="H61" s="20"/>
      <c r="I61" s="16">
        <f>IF(G61="","",IF(ISNUMBER(G61),G61-IF(H61="",0,H61),"falta dato"))</f>
      </c>
    </row>
    <row r="62" spans="1:9" x14ac:dyDescent="0.25">
      <c r="A62" s="17"/>
      <c r="B62" s="18"/>
      <c r="C62" s="18"/>
      <c r="D62" s="22"/>
      <c r="E62" s="19"/>
      <c r="F62" s="20"/>
      <c r="G62" s="16">
        <f>IF(AND(E62="",F62=""),"",IF(OR(E62="",F62=""),"falta dato",E62*F62))</f>
      </c>
      <c r="H62" s="20"/>
      <c r="I62" s="16">
        <f>IF(G62="","",IF(ISNUMBER(G62),G62-IF(H62="",0,H62),"falta dato"))</f>
      </c>
    </row>
    <row r="63" spans="1:9" x14ac:dyDescent="0.25">
      <c r="A63" s="17"/>
      <c r="B63" s="18"/>
      <c r="C63" s="18"/>
      <c r="D63" s="22"/>
      <c r="E63" s="19"/>
      <c r="F63" s="20"/>
      <c r="G63" s="16">
        <f>IF(AND(E63="",F63=""),"",IF(OR(E63="",F63=""),"falta dato",E63*F63))</f>
      </c>
      <c r="H63" s="20"/>
      <c r="I63" s="16">
        <f>IF(G63="","",IF(ISNUMBER(G63),G63-IF(H63="",0,H63),"falta dato"))</f>
      </c>
    </row>
    <row r="64" spans="1:9" x14ac:dyDescent="0.25">
      <c r="A64" s="17"/>
      <c r="B64" s="18"/>
      <c r="C64" s="18"/>
      <c r="D64" s="22"/>
      <c r="E64" s="19"/>
      <c r="F64" s="20"/>
      <c r="G64" s="16">
        <f>IF(AND(E64="",F64=""),"",IF(OR(E64="",F64=""),"falta dato",E64*F64))</f>
      </c>
      <c r="H64" s="20"/>
      <c r="I64" s="16">
        <f>IF(G64="","",IF(ISNUMBER(G64),G64-IF(H64="",0,H64),"falta dato"))</f>
      </c>
    </row>
    <row r="65" spans="1:9" x14ac:dyDescent="0.25">
      <c r="A65" s="17"/>
      <c r="B65" s="18"/>
      <c r="C65" s="18"/>
      <c r="D65" s="22"/>
      <c r="E65" s="19"/>
      <c r="F65" s="20"/>
      <c r="G65" s="16">
        <f>IF(AND(E65="",F65=""),"",IF(OR(E65="",F65=""),"falta dato",E65*F65))</f>
      </c>
      <c r="H65" s="20"/>
      <c r="I65" s="16">
        <f>IF(G65="","",IF(ISNUMBER(G65),G65-IF(H65="",0,H65),"falta dato"))</f>
      </c>
    </row>
    <row r="66" spans="1:9" x14ac:dyDescent="0.25">
      <c r="A66" s="17"/>
      <c r="B66" s="18"/>
      <c r="C66" s="18"/>
      <c r="D66" s="22"/>
      <c r="E66" s="19"/>
      <c r="F66" s="20"/>
      <c r="G66" s="16">
        <f>IF(AND(E66="",F66=""),"",IF(OR(E66="",F66=""),"falta dato",E66*F66))</f>
      </c>
      <c r="H66" s="20"/>
      <c r="I66" s="16">
        <f>IF(G66="","",IF(ISNUMBER(G66),G66-IF(H66="",0,H66),"falta dato"))</f>
      </c>
    </row>
    <row r="67" spans="1:9" x14ac:dyDescent="0.25">
      <c r="A67" s="17"/>
      <c r="B67" s="18"/>
      <c r="C67" s="18"/>
      <c r="D67" s="22"/>
      <c r="E67" s="19"/>
      <c r="F67" s="20"/>
      <c r="G67" s="16">
        <f>IF(AND(E67="",F67=""),"",IF(OR(E67="",F67=""),"falta dato",E67*F67))</f>
      </c>
      <c r="H67" s="20"/>
      <c r="I67" s="16">
        <f>IF(G67="","",IF(ISNUMBER(G67),G67-IF(H67="",0,H67),"falta dato"))</f>
      </c>
    </row>
    <row r="68" spans="1:9" x14ac:dyDescent="0.25">
      <c r="A68" s="17"/>
      <c r="B68" s="18"/>
      <c r="C68" s="18"/>
      <c r="D68" s="22"/>
      <c r="E68" s="19"/>
      <c r="F68" s="20"/>
      <c r="G68" s="16">
        <f>IF(AND(E68="",F68=""),"",IF(OR(E68="",F68=""),"falta dato",E68*F68))</f>
      </c>
      <c r="H68" s="20"/>
      <c r="I68" s="16">
        <f>IF(G68="","",IF(ISNUMBER(G68),G68-IF(H68="",0,H68),"falta dato"))</f>
      </c>
    </row>
    <row r="69" spans="1:9" x14ac:dyDescent="0.25">
      <c r="A69" s="17"/>
      <c r="B69" s="18"/>
      <c r="C69" s="18"/>
      <c r="D69" s="22"/>
      <c r="E69" s="19"/>
      <c r="F69" s="20"/>
      <c r="G69" s="16">
        <f>IF(AND(E69="",F69=""),"",IF(OR(E69="",F69=""),"falta dato",E69*F69))</f>
      </c>
      <c r="H69" s="20"/>
      <c r="I69" s="16">
        <f>IF(G69="","",IF(ISNUMBER(G69),G69-IF(H69="",0,H69),"falta dato"))</f>
      </c>
    </row>
    <row r="70" spans="1:9" x14ac:dyDescent="0.25">
      <c r="A70" s="17"/>
      <c r="B70" s="18"/>
      <c r="C70" s="18"/>
      <c r="D70" s="22"/>
      <c r="E70" s="19"/>
      <c r="F70" s="20"/>
      <c r="G70" s="16">
        <f>IF(AND(E70="",F70=""),"",IF(OR(E70="",F70=""),"falta dato",E70*F70))</f>
      </c>
      <c r="H70" s="20"/>
      <c r="I70" s="16">
        <f>IF(G70="","",IF(ISNUMBER(G70),G70-IF(H70="",0,H70),"falta dato"))</f>
      </c>
    </row>
    <row r="71" spans="1:9" x14ac:dyDescent="0.25">
      <c r="A71" s="17"/>
      <c r="B71" s="18"/>
      <c r="C71" s="18"/>
      <c r="D71" s="22"/>
      <c r="E71" s="19"/>
      <c r="F71" s="20"/>
      <c r="G71" s="16">
        <f>IF(AND(E71="",F71=""),"",IF(OR(E71="",F71=""),"falta dato",E71*F71))</f>
      </c>
      <c r="H71" s="20"/>
      <c r="I71" s="16">
        <f>IF(G71="","",IF(ISNUMBER(G71),G71-IF(H71="",0,H71),"falta dato"))</f>
      </c>
    </row>
    <row r="72" spans="1:9" x14ac:dyDescent="0.25">
      <c r="A72" s="17"/>
      <c r="B72" s="18"/>
      <c r="C72" s="18"/>
      <c r="D72" s="22"/>
      <c r="E72" s="19"/>
      <c r="F72" s="20"/>
      <c r="G72" s="16">
        <f>IF(AND(E72="",F72=""),"",IF(OR(E72="",F72=""),"falta dato",E72*F72))</f>
      </c>
      <c r="H72" s="20"/>
      <c r="I72" s="16">
        <f>IF(G72="","",IF(ISNUMBER(G72),G72-IF(H72="",0,H72),"falta dato"))</f>
      </c>
    </row>
    <row r="73" spans="1:9" x14ac:dyDescent="0.25">
      <c r="A73" s="17"/>
      <c r="B73" s="18"/>
      <c r="C73" s="18"/>
      <c r="D73" s="22"/>
      <c r="E73" s="19"/>
      <c r="F73" s="20"/>
      <c r="G73" s="16">
        <f>IF(AND(E73="",F73=""),"",IF(OR(E73="",F73=""),"falta dato",E73*F73))</f>
      </c>
      <c r="H73" s="20"/>
      <c r="I73" s="16">
        <f>IF(G73="","",IF(ISNUMBER(G73),G73-IF(H73="",0,H73),"falta dato"))</f>
      </c>
    </row>
    <row r="74" spans="1:9" x14ac:dyDescent="0.25">
      <c r="A74" s="17"/>
      <c r="B74" s="18"/>
      <c r="C74" s="18"/>
      <c r="D74" s="22"/>
      <c r="E74" s="19"/>
      <c r="F74" s="20"/>
      <c r="G74" s="16">
        <f>IF(AND(E74="",F74=""),"",IF(OR(E74="",F74=""),"falta dato",E74*F74))</f>
      </c>
      <c r="H74" s="20"/>
      <c r="I74" s="16">
        <f>IF(G74="","",IF(ISNUMBER(G74),G74-IF(H74="",0,H74),"falta dato"))</f>
      </c>
    </row>
    <row r="75" spans="1:9" x14ac:dyDescent="0.25">
      <c r="A75" s="17"/>
      <c r="B75" s="18"/>
      <c r="C75" s="18"/>
      <c r="D75" s="22"/>
      <c r="E75" s="19"/>
      <c r="F75" s="20"/>
      <c r="G75" s="16">
        <f>IF(AND(E75="",F75=""),"",IF(OR(E75="",F75=""),"falta dato",E75*F75))</f>
      </c>
      <c r="H75" s="20"/>
      <c r="I75" s="16">
        <f>IF(G75="","",IF(ISNUMBER(G75),G75-IF(H75="",0,H75),"falta dato"))</f>
      </c>
    </row>
    <row r="76" spans="1:9" x14ac:dyDescent="0.25">
      <c r="A76" s="17"/>
      <c r="B76" s="18"/>
      <c r="C76" s="18"/>
      <c r="D76" s="22"/>
      <c r="E76" s="19"/>
      <c r="F76" s="20"/>
      <c r="G76" s="16">
        <f>IF(AND(E76="",F76=""),"",IF(OR(E76="",F76=""),"falta dato",E76*F76))</f>
      </c>
      <c r="H76" s="20"/>
      <c r="I76" s="16">
        <f>IF(G76="","",IF(ISNUMBER(G76),G76-IF(H76="",0,H76),"falta dato"))</f>
      </c>
    </row>
    <row r="77" spans="1:9" x14ac:dyDescent="0.25">
      <c r="A77" s="17"/>
      <c r="B77" s="18"/>
      <c r="C77" s="18"/>
      <c r="D77" s="22"/>
      <c r="E77" s="19"/>
      <c r="F77" s="20"/>
      <c r="G77" s="16">
        <f>IF(AND(E77="",F77=""),"",IF(OR(E77="",F77=""),"falta dato",E77*F77))</f>
      </c>
      <c r="H77" s="20"/>
      <c r="I77" s="16">
        <f>IF(G77="","",IF(ISNUMBER(G77),G77-IF(H77="",0,H77),"falta dato"))</f>
      </c>
    </row>
    <row r="78" spans="1:9" x14ac:dyDescent="0.25">
      <c r="A78" s="17"/>
      <c r="B78" s="18"/>
      <c r="C78" s="18"/>
      <c r="D78" s="22"/>
      <c r="E78" s="19"/>
      <c r="F78" s="20"/>
      <c r="G78" s="16">
        <f>IF(AND(E78="",F78=""),"",IF(OR(E78="",F78=""),"falta dato",E78*F78))</f>
      </c>
      <c r="H78" s="20"/>
      <c r="I78" s="16">
        <f>IF(G78="","",IF(ISNUMBER(G78),G78-IF(H78="",0,H78),"falta dato"))</f>
      </c>
    </row>
    <row r="79" spans="1:9" x14ac:dyDescent="0.25">
      <c r="A79" s="17"/>
      <c r="B79" s="18"/>
      <c r="C79" s="18"/>
      <c r="D79" s="22"/>
      <c r="E79" s="19"/>
      <c r="F79" s="20"/>
      <c r="G79" s="16">
        <f>IF(AND(E79="",F79=""),"",IF(OR(E79="",F79=""),"falta dato",E79*F79))</f>
      </c>
      <c r="H79" s="20"/>
      <c r="I79" s="16">
        <f>IF(G79="","",IF(ISNUMBER(G79),G79-IF(H79="",0,H79),"falta dato"))</f>
      </c>
    </row>
    <row r="80" spans="1:9" x14ac:dyDescent="0.25">
      <c r="A80" s="17"/>
      <c r="B80" s="18"/>
      <c r="C80" s="18"/>
      <c r="D80" s="22"/>
      <c r="E80" s="19"/>
      <c r="F80" s="20"/>
      <c r="G80" s="16">
        <f>IF(AND(E80="",F80=""),"",IF(OR(E80="",F80=""),"falta dato",E80*F80))</f>
      </c>
      <c r="H80" s="20"/>
      <c r="I80" s="16">
        <f>IF(G80="","",IF(ISNUMBER(G80),G80-IF(H80="",0,H80),"falta dato"))</f>
      </c>
    </row>
    <row r="81" spans="1:9" x14ac:dyDescent="0.25">
      <c r="A81" s="17"/>
      <c r="B81" s="18"/>
      <c r="C81" s="18"/>
      <c r="D81" s="22"/>
      <c r="E81" s="19"/>
      <c r="F81" s="20"/>
      <c r="G81" s="16">
        <f>IF(AND(E81="",F81=""),"",IF(OR(E81="",F81=""),"falta dato",E81*F81))</f>
      </c>
      <c r="H81" s="20"/>
      <c r="I81" s="16">
        <f>IF(G81="","",IF(ISNUMBER(G81),G81-IF(H81="",0,H81),"falta dato"))</f>
      </c>
    </row>
    <row r="82" spans="1:9" x14ac:dyDescent="0.25">
      <c r="A82" s="17"/>
      <c r="B82" s="18"/>
      <c r="C82" s="18"/>
      <c r="D82" s="22"/>
      <c r="E82" s="19"/>
      <c r="F82" s="20"/>
      <c r="G82" s="16">
        <f>IF(AND(E82="",F82=""),"",IF(OR(E82="",F82=""),"falta dato",E82*F82))</f>
      </c>
      <c r="H82" s="20"/>
      <c r="I82" s="16">
        <f>IF(G82="","",IF(ISNUMBER(G82),G82-IF(H82="",0,H82),"falta dato"))</f>
      </c>
    </row>
    <row r="83" spans="1:9" x14ac:dyDescent="0.25">
      <c r="A83" s="17"/>
      <c r="B83" s="18"/>
      <c r="C83" s="18"/>
      <c r="D83" s="22"/>
      <c r="E83" s="19"/>
      <c r="F83" s="20"/>
      <c r="G83" s="16">
        <f>IF(AND(E83="",F83=""),"",IF(OR(E83="",F83=""),"falta dato",E83*F83))</f>
      </c>
      <c r="H83" s="20"/>
      <c r="I83" s="16">
        <f>IF(G83="","",IF(ISNUMBER(G83),G83-IF(H83="",0,H83),"falta dato"))</f>
      </c>
    </row>
    <row r="84" spans="1:9" x14ac:dyDescent="0.25">
      <c r="A84" s="17"/>
      <c r="B84" s="18"/>
      <c r="C84" s="18"/>
      <c r="D84" s="22"/>
      <c r="E84" s="19"/>
      <c r="F84" s="20"/>
      <c r="G84" s="16">
        <f>IF(AND(E84="",F84=""),"",IF(OR(E84="",F84=""),"falta dato",E84*F84))</f>
      </c>
      <c r="H84" s="20"/>
      <c r="I84" s="16">
        <f>IF(G84="","",IF(ISNUMBER(G84),G84-IF(H84="",0,H84),"falta dato"))</f>
      </c>
    </row>
    <row r="85" spans="1:9" x14ac:dyDescent="0.25">
      <c r="A85" s="17"/>
      <c r="B85" s="18"/>
      <c r="C85" s="18"/>
      <c r="D85" s="22"/>
      <c r="E85" s="19"/>
      <c r="F85" s="20"/>
      <c r="G85" s="16">
        <f>IF(AND(E85="",F85=""),"",IF(OR(E85="",F85=""),"falta dato",E85*F85))</f>
      </c>
      <c r="H85" s="20"/>
      <c r="I85" s="16">
        <f>IF(G85="","",IF(ISNUMBER(G85),G85-IF(H85="",0,H85),"falta dato"))</f>
      </c>
    </row>
    <row r="86" spans="1:9" x14ac:dyDescent="0.25">
      <c r="A86" s="17"/>
      <c r="B86" s="18"/>
      <c r="C86" s="18"/>
      <c r="D86" s="22"/>
      <c r="E86" s="19"/>
      <c r="F86" s="20"/>
      <c r="G86" s="16">
        <f>IF(AND(E86="",F86=""),"",IF(OR(E86="",F86=""),"falta dato",E86*F86))</f>
      </c>
      <c r="H86" s="20"/>
      <c r="I86" s="16">
        <f>IF(G86="","",IF(ISNUMBER(G86),G86-IF(H86="",0,H86),"falta dato"))</f>
      </c>
    </row>
    <row r="87" spans="1:9" x14ac:dyDescent="0.25">
      <c r="A87" s="17"/>
      <c r="B87" s="18"/>
      <c r="C87" s="18"/>
      <c r="D87" s="22"/>
      <c r="E87" s="19"/>
      <c r="F87" s="20"/>
      <c r="G87" s="16">
        <f>IF(AND(E87="",F87=""),"",IF(OR(E87="",F87=""),"falta dato",E87*F87))</f>
      </c>
      <c r="H87" s="20"/>
      <c r="I87" s="16">
        <f>IF(G87="","",IF(ISNUMBER(G87),G87-IF(H87="",0,H87),"falta dato"))</f>
      </c>
    </row>
    <row r="88" spans="1:9" x14ac:dyDescent="0.25">
      <c r="A88" s="17"/>
      <c r="B88" s="18"/>
      <c r="C88" s="18"/>
      <c r="D88" s="22"/>
      <c r="E88" s="19"/>
      <c r="F88" s="20"/>
      <c r="G88" s="16">
        <f>IF(AND(E88="",F88=""),"",IF(OR(E88="",F88=""),"falta dato",E88*F88))</f>
      </c>
      <c r="H88" s="20"/>
      <c r="I88" s="16">
        <f>IF(G88="","",IF(ISNUMBER(G88),G88-IF(H88="",0,H88),"falta dato"))</f>
      </c>
    </row>
    <row r="89" spans="1:9" x14ac:dyDescent="0.25">
      <c r="A89" s="17"/>
      <c r="B89" s="18"/>
      <c r="C89" s="18"/>
      <c r="D89" s="22"/>
      <c r="E89" s="19"/>
      <c r="F89" s="20"/>
      <c r="G89" s="16">
        <f>IF(AND(E89="",F89=""),"",IF(OR(E89="",F89=""),"falta dato",E89*F89))</f>
      </c>
      <c r="H89" s="20"/>
      <c r="I89" s="16">
        <f>IF(G89="","",IF(ISNUMBER(G89),G89-IF(H89="",0,H89),"falta dato"))</f>
      </c>
    </row>
    <row r="90" spans="1:9" x14ac:dyDescent="0.25">
      <c r="A90" s="17"/>
      <c r="B90" s="18"/>
      <c r="C90" s="18"/>
      <c r="D90" s="22"/>
      <c r="E90" s="19"/>
      <c r="F90" s="20"/>
      <c r="G90" s="16">
        <f>IF(AND(E90="",F90=""),"",IF(OR(E90="",F90=""),"falta dato",E90*F90))</f>
      </c>
      <c r="H90" s="20"/>
      <c r="I90" s="16">
        <f>IF(G90="","",IF(ISNUMBER(G90),G90-IF(H90="",0,H90),"falta dato"))</f>
      </c>
    </row>
    <row r="91" spans="1:9" x14ac:dyDescent="0.25">
      <c r="A91" s="17"/>
      <c r="B91" s="18"/>
      <c r="C91" s="18"/>
      <c r="D91" s="22"/>
      <c r="E91" s="19"/>
      <c r="F91" s="20"/>
      <c r="G91" s="16">
        <f>IF(AND(E91="",F91=""),"",IF(OR(E91="",F91=""),"falta dato",E91*F91))</f>
      </c>
      <c r="H91" s="20"/>
      <c r="I91" s="16">
        <f>IF(G91="","",IF(ISNUMBER(G91),G91-IF(H91="",0,H91),"falta dato"))</f>
      </c>
    </row>
    <row r="92" spans="1:9" x14ac:dyDescent="0.25">
      <c r="A92" s="17"/>
      <c r="B92" s="18"/>
      <c r="C92" s="18"/>
      <c r="D92" s="22"/>
      <c r="E92" s="19"/>
      <c r="F92" s="20"/>
      <c r="G92" s="16">
        <f>IF(AND(E92="",F92=""),"",IF(OR(E92="",F92=""),"falta dato",E92*F92))</f>
      </c>
      <c r="H92" s="20"/>
      <c r="I92" s="16">
        <f>IF(G92="","",IF(ISNUMBER(G92),G92-IF(H92="",0,H92),"falta dato"))</f>
      </c>
    </row>
    <row r="93" spans="1:9" x14ac:dyDescent="0.25">
      <c r="A93" s="17"/>
      <c r="B93" s="18"/>
      <c r="C93" s="18"/>
      <c r="D93" s="22"/>
      <c r="E93" s="19"/>
      <c r="F93" s="20"/>
      <c r="G93" s="16">
        <f>IF(AND(E93="",F93=""),"",IF(OR(E93="",F93=""),"falta dato",E93*F93))</f>
      </c>
      <c r="H93" s="20"/>
      <c r="I93" s="16">
        <f>IF(G93="","",IF(ISNUMBER(G93),G93-IF(H93="",0,H93),"falta dato"))</f>
      </c>
    </row>
    <row r="94" spans="1:9" x14ac:dyDescent="0.25">
      <c r="A94" s="17"/>
      <c r="B94" s="18"/>
      <c r="C94" s="18"/>
      <c r="D94" s="22"/>
      <c r="E94" s="19"/>
      <c r="F94" s="20"/>
      <c r="G94" s="16">
        <f>IF(AND(E94="",F94=""),"",IF(OR(E94="",F94=""),"falta dato",E94*F94))</f>
      </c>
      <c r="H94" s="20"/>
      <c r="I94" s="16">
        <f>IF(G94="","",IF(ISNUMBER(G94),G94-IF(H94="",0,H94),"falta dato"))</f>
      </c>
    </row>
    <row r="95" spans="1:9" x14ac:dyDescent="0.25">
      <c r="A95" s="17"/>
      <c r="B95" s="18"/>
      <c r="C95" s="18"/>
      <c r="D95" s="22"/>
      <c r="E95" s="19"/>
      <c r="F95" s="20"/>
      <c r="G95" s="16">
        <f>IF(AND(E95="",F95=""),"",IF(OR(E95="",F95=""),"falta dato",E95*F95))</f>
      </c>
      <c r="H95" s="20"/>
      <c r="I95" s="16">
        <f>IF(G95="","",IF(ISNUMBER(G95),G95-IF(H95="",0,H95),"falta dato"))</f>
      </c>
    </row>
    <row r="96" spans="1:9" x14ac:dyDescent="0.25">
      <c r="A96" s="17"/>
      <c r="B96" s="18"/>
      <c r="C96" s="18"/>
      <c r="D96" s="22"/>
      <c r="E96" s="19"/>
      <c r="F96" s="20"/>
      <c r="G96" s="16">
        <f>IF(AND(E96="",F96=""),"",IF(OR(E96="",F96=""),"falta dato",E96*F96))</f>
      </c>
      <c r="H96" s="20"/>
      <c r="I96" s="16">
        <f>IF(G96="","",IF(ISNUMBER(G96),G96-IF(H96="",0,H96),"falta dato"))</f>
      </c>
    </row>
    <row r="97" spans="1:9" x14ac:dyDescent="0.25">
      <c r="A97" s="17"/>
      <c r="B97" s="18"/>
      <c r="C97" s="18"/>
      <c r="D97" s="22"/>
      <c r="E97" s="19"/>
      <c r="F97" s="20"/>
      <c r="G97" s="16">
        <f>IF(AND(E97="",F97=""),"",IF(OR(E97="",F97=""),"falta dato",E97*F97))</f>
      </c>
      <c r="H97" s="20"/>
      <c r="I97" s="16">
        <f>IF(G97="","",IF(ISNUMBER(G97),G97-IF(H97="",0,H97),"falta dato"))</f>
      </c>
    </row>
    <row r="98" spans="1:9" x14ac:dyDescent="0.25">
      <c r="A98" s="17"/>
      <c r="B98" s="18"/>
      <c r="C98" s="18"/>
      <c r="D98" s="22"/>
      <c r="E98" s="19"/>
      <c r="F98" s="20"/>
      <c r="G98" s="16">
        <f>IF(AND(E98="",F98=""),"",IF(OR(E98="",F98=""),"falta dato",E98*F98))</f>
      </c>
      <c r="H98" s="20"/>
      <c r="I98" s="16">
        <f>IF(G98="","",IF(ISNUMBER(G98),G98-IF(H98="",0,H98),"falta dato"))</f>
      </c>
    </row>
    <row r="99" spans="1:9" x14ac:dyDescent="0.25">
      <c r="A99" s="17"/>
      <c r="B99" s="18"/>
      <c r="C99" s="18"/>
      <c r="D99" s="22"/>
      <c r="E99" s="19"/>
      <c r="F99" s="20"/>
      <c r="G99" s="16">
        <f>IF(AND(E99="",F99=""),"",IF(OR(E99="",F99=""),"falta dato",E99*F99))</f>
      </c>
      <c r="H99" s="20"/>
      <c r="I99" s="16">
        <f>IF(G99="","",IF(ISNUMBER(G99),G99-IF(H99="",0,H99),"falta dato"))</f>
      </c>
    </row>
    <row r="100" spans="1:9" x14ac:dyDescent="0.25">
      <c r="A100" s="17"/>
      <c r="B100" s="18"/>
      <c r="C100" s="18"/>
      <c r="D100" s="22"/>
      <c r="E100" s="19"/>
      <c r="F100" s="20"/>
      <c r="G100" s="16">
        <f>IF(AND(E100="",F100=""),"",IF(OR(E100="",F100=""),"falta dato",E100*F100))</f>
      </c>
      <c r="H100" s="20"/>
      <c r="I100" s="16">
        <f>IF(G100="","",IF(ISNUMBER(G100),G100-IF(H100="",0,H100),"falta dato"))</f>
      </c>
    </row>
    <row r="101" spans="1:9" x14ac:dyDescent="0.25">
      <c r="A101" s="17"/>
      <c r="B101" s="18"/>
      <c r="C101" s="18"/>
      <c r="D101" s="22"/>
      <c r="E101" s="19"/>
      <c r="F101" s="20"/>
      <c r="G101" s="16">
        <f>IF(AND(E101="",F101=""),"",IF(OR(E101="",F101=""),"falta dato",E101*F101))</f>
      </c>
      <c r="H101" s="20"/>
      <c r="I101" s="16">
        <f>IF(G101="","",IF(ISNUMBER(G101),G101-IF(H101="",0,H101),"falta dato"))</f>
      </c>
    </row>
    <row r="102" spans="1:9" x14ac:dyDescent="0.25">
      <c r="A102" s="17"/>
      <c r="B102" s="18"/>
      <c r="C102" s="18"/>
      <c r="D102" s="22"/>
      <c r="E102" s="19"/>
      <c r="F102" s="20"/>
      <c r="G102" s="16">
        <f>IF(AND(E102="",F102=""),"",IF(OR(E102="",F102=""),"falta dato",E102*F102))</f>
      </c>
      <c r="H102" s="20"/>
      <c r="I102" s="16">
        <f>IF(G102="","",IF(ISNUMBER(G102),G102-IF(H102="",0,H102),"falta dato"))</f>
      </c>
    </row>
    <row r="103" spans="1:9" x14ac:dyDescent="0.25">
      <c r="A103" s="17"/>
      <c r="B103" s="18"/>
      <c r="C103" s="18"/>
      <c r="D103" s="22"/>
      <c r="E103" s="19"/>
      <c r="F103" s="20"/>
      <c r="G103" s="16">
        <f>IF(AND(E103="",F103=""),"",IF(OR(E103="",F103=""),"falta dato",E103*F103))</f>
      </c>
      <c r="H103" s="20"/>
      <c r="I103" s="16">
        <f>IF(G103="","",IF(ISNUMBER(G103),G103-IF(H103="",0,H103),"falta dato"))</f>
      </c>
    </row>
    <row r="104" spans="1:9" x14ac:dyDescent="0.25">
      <c r="A104" s="17"/>
      <c r="B104" s="18"/>
      <c r="C104" s="18"/>
      <c r="D104" s="22"/>
      <c r="E104" s="19"/>
      <c r="F104" s="20"/>
      <c r="G104" s="16">
        <f>IF(AND(E104="",F104=""),"",IF(OR(E104="",F104=""),"falta dato",E104*F104))</f>
      </c>
      <c r="H104" s="20"/>
      <c r="I104" s="16">
        <f>IF(G104="","",IF(ISNUMBER(G104),G104-IF(H104="",0,H104),"falta dato"))</f>
      </c>
    </row>
    <row r="105" spans="1:9" x14ac:dyDescent="0.25">
      <c r="A105" s="17"/>
      <c r="B105" s="18"/>
      <c r="C105" s="18"/>
      <c r="D105" s="22"/>
      <c r="E105" s="19"/>
      <c r="F105" s="20"/>
      <c r="G105" s="16">
        <f>IF(AND(E105="",F105=""),"",IF(OR(E105="",F105=""),"falta dato",E105*F105))</f>
      </c>
      <c r="H105" s="20"/>
      <c r="I105" s="16">
        <f>IF(G105="","",IF(ISNUMBER(G105),G105-IF(H105="",0,H105),"falta dato"))</f>
      </c>
    </row>
    <row r="106" spans="1:9" x14ac:dyDescent="0.25">
      <c r="A106" s="17"/>
      <c r="B106" s="18"/>
      <c r="C106" s="18"/>
      <c r="D106" s="22"/>
      <c r="E106" s="19"/>
      <c r="F106" s="20"/>
      <c r="G106" s="16">
        <f>IF(AND(E106="",F106=""),"",IF(OR(E106="",F106=""),"falta dato",E106*F106))</f>
      </c>
      <c r="H106" s="20"/>
      <c r="I106" s="16">
        <f>IF(G106="","",IF(ISNUMBER(G106),G106-IF(H106="",0,H106),"falta dato"))</f>
      </c>
    </row>
    <row r="107" spans="1:9" x14ac:dyDescent="0.25">
      <c r="A107" s="17"/>
      <c r="B107" s="18"/>
      <c r="C107" s="18"/>
      <c r="D107" s="22"/>
      <c r="E107" s="19"/>
      <c r="F107" s="20"/>
      <c r="G107" s="16">
        <f>IF(AND(E107="",F107=""),"",IF(OR(E107="",F107=""),"falta dato",E107*F107))</f>
      </c>
      <c r="H107" s="20"/>
      <c r="I107" s="16">
        <f>IF(G107="","",IF(ISNUMBER(G107),G107-IF(H107="",0,H107),"falta dato"))</f>
      </c>
    </row>
    <row r="108" spans="1:9" x14ac:dyDescent="0.25">
      <c r="A108" s="17"/>
      <c r="B108" s="18"/>
      <c r="C108" s="18"/>
      <c r="D108" s="22"/>
      <c r="E108" s="19"/>
      <c r="F108" s="20"/>
      <c r="G108" s="16">
        <f>IF(AND(E108="",F108=""),"",IF(OR(E108="",F108=""),"falta dato",E108*F108))</f>
      </c>
      <c r="H108" s="20"/>
      <c r="I108" s="16">
        <f>IF(G108="","",IF(ISNUMBER(G108),G108-IF(H108="",0,H108),"falta dato"))</f>
      </c>
    </row>
    <row r="109" spans="1:9" x14ac:dyDescent="0.25">
      <c r="A109" s="17"/>
      <c r="B109" s="18"/>
      <c r="C109" s="18"/>
      <c r="D109" s="22"/>
      <c r="E109" s="19"/>
      <c r="F109" s="20"/>
      <c r="G109" s="16">
        <f>IF(AND(E109="",F109=""),"",IF(OR(E109="",F109=""),"falta dato",E109*F109))</f>
      </c>
      <c r="H109" s="20"/>
      <c r="I109" s="16">
        <f>IF(G109="","",IF(ISNUMBER(G109),G109-IF(H109="",0,H109),"falta dato"))</f>
      </c>
    </row>
    <row r="110" spans="1:9" x14ac:dyDescent="0.25">
      <c r="A110" s="17"/>
      <c r="B110" s="18"/>
      <c r="C110" s="18"/>
      <c r="D110" s="22"/>
      <c r="E110" s="19"/>
      <c r="F110" s="20"/>
      <c r="G110" s="16">
        <f>IF(AND(E110="",F110=""),"",IF(OR(E110="",F110=""),"falta dato",E110*F110))</f>
      </c>
      <c r="H110" s="20"/>
      <c r="I110" s="16">
        <f>IF(G110="","",IF(ISNUMBER(G110),G110-IF(H110="",0,H110),"falta dato"))</f>
      </c>
    </row>
    <row r="111" spans="1:9" x14ac:dyDescent="0.25">
      <c r="A111" s="17"/>
      <c r="B111" s="18"/>
      <c r="C111" s="18"/>
      <c r="D111" s="22"/>
      <c r="E111" s="19"/>
      <c r="F111" s="20"/>
      <c r="G111" s="16">
        <f>IF(AND(E111="",F111=""),"",IF(OR(E111="",F111=""),"falta dato",E111*F111))</f>
      </c>
      <c r="H111" s="20"/>
      <c r="I111" s="16">
        <f>IF(G111="","",IF(ISNUMBER(G111),G111-IF(H111="",0,H111),"falta dato"))</f>
      </c>
    </row>
    <row r="112" spans="1:9" x14ac:dyDescent="0.25">
      <c r="A112" s="17"/>
      <c r="B112" s="18"/>
      <c r="C112" s="18"/>
      <c r="D112" s="22"/>
      <c r="E112" s="19"/>
      <c r="F112" s="20"/>
      <c r="G112" s="16">
        <f>IF(AND(E112="",F112=""),"",IF(OR(E112="",F112=""),"falta dato",E112*F112))</f>
      </c>
      <c r="H112" s="20"/>
      <c r="I112" s="16">
        <f>IF(G112="","",IF(ISNUMBER(G112),G112-IF(H112="",0,H112),"falta dato"))</f>
      </c>
    </row>
    <row r="113" spans="1:9" x14ac:dyDescent="0.25">
      <c r="A113" s="17"/>
      <c r="B113" s="18"/>
      <c r="C113" s="18"/>
      <c r="D113" s="22"/>
      <c r="E113" s="19"/>
      <c r="F113" s="20"/>
      <c r="G113" s="16">
        <f>IF(AND(E113="",F113=""),"",IF(OR(E113="",F113=""),"falta dato",E113*F113))</f>
      </c>
      <c r="H113" s="20"/>
      <c r="I113" s="16">
        <f>IF(G113="","",IF(ISNUMBER(G113),G113-IF(H113="",0,H113),"falta dato"))</f>
      </c>
    </row>
    <row r="114" spans="1:9" x14ac:dyDescent="0.25">
      <c r="A114" s="17"/>
      <c r="B114" s="18"/>
      <c r="C114" s="18"/>
      <c r="D114" s="22"/>
      <c r="E114" s="19"/>
      <c r="F114" s="20"/>
      <c r="G114" s="16">
        <f>IF(AND(E114="",F114=""),"",IF(OR(E114="",F114=""),"falta dato",E114*F114))</f>
      </c>
      <c r="H114" s="20"/>
      <c r="I114" s="16">
        <f>IF(G114="","",IF(ISNUMBER(G114),G114-IF(H114="",0,H114),"falta dato"))</f>
      </c>
    </row>
    <row r="115" spans="1:9" x14ac:dyDescent="0.25">
      <c r="A115" s="17"/>
      <c r="B115" s="18"/>
      <c r="C115" s="18"/>
      <c r="D115" s="22"/>
      <c r="E115" s="19"/>
      <c r="F115" s="20"/>
      <c r="G115" s="16">
        <f>IF(AND(E115="",F115=""),"",IF(OR(E115="",F115=""),"falta dato",E115*F115))</f>
      </c>
      <c r="H115" s="20"/>
      <c r="I115" s="16">
        <f>IF(G115="","",IF(ISNUMBER(G115),G115-IF(H115="",0,H115),"falta dato"))</f>
      </c>
    </row>
    <row r="116" spans="1:9" x14ac:dyDescent="0.25">
      <c r="A116" s="17"/>
      <c r="B116" s="18"/>
      <c r="C116" s="18"/>
      <c r="D116" s="22"/>
      <c r="E116" s="19"/>
      <c r="F116" s="20"/>
      <c r="G116" s="16">
        <f>IF(AND(E116="",F116=""),"",IF(OR(E116="",F116=""),"falta dato",E116*F116))</f>
      </c>
      <c r="H116" s="20"/>
      <c r="I116" s="16">
        <f>IF(G116="","",IF(ISNUMBER(G116),G116-IF(H116="",0,H116),"falta dato"))</f>
      </c>
    </row>
    <row r="117" spans="1:9" x14ac:dyDescent="0.25">
      <c r="A117" s="17"/>
      <c r="B117" s="18"/>
      <c r="C117" s="18"/>
      <c r="D117" s="22"/>
      <c r="E117" s="19"/>
      <c r="F117" s="20"/>
      <c r="G117" s="16">
        <f>IF(AND(E117="",F117=""),"",IF(OR(E117="",F117=""),"falta dato",E117*F117))</f>
      </c>
      <c r="H117" s="20"/>
      <c r="I117" s="16">
        <f>IF(G117="","",IF(ISNUMBER(G117),G117-IF(H117="",0,H117),"falta dato"))</f>
      </c>
    </row>
    <row r="118" spans="1:9" x14ac:dyDescent="0.25">
      <c r="A118" s="17"/>
      <c r="B118" s="18"/>
      <c r="C118" s="18"/>
      <c r="D118" s="22"/>
      <c r="E118" s="19"/>
      <c r="F118" s="20"/>
      <c r="G118" s="16">
        <f>IF(AND(E118="",F118=""),"",IF(OR(E118="",F118=""),"falta dato",E118*F118))</f>
      </c>
      <c r="H118" s="20"/>
      <c r="I118" s="16">
        <f>IF(G118="","",IF(ISNUMBER(G118),G118-IF(H118="",0,H118),"falta dato"))</f>
      </c>
    </row>
    <row r="119" spans="1:9" x14ac:dyDescent="0.25">
      <c r="A119" s="17"/>
      <c r="B119" s="18"/>
      <c r="C119" s="18"/>
      <c r="D119" s="22"/>
      <c r="E119" s="19"/>
      <c r="F119" s="20"/>
      <c r="G119" s="16">
        <f>IF(AND(E119="",F119=""),"",IF(OR(E119="",F119=""),"falta dato",E119*F119))</f>
      </c>
      <c r="H119" s="20"/>
      <c r="I119" s="16">
        <f>IF(G119="","",IF(ISNUMBER(G119),G119-IF(H119="",0,H119),"falta dato"))</f>
      </c>
    </row>
    <row r="120" spans="1:9" x14ac:dyDescent="0.25">
      <c r="A120" s="17"/>
      <c r="B120" s="18"/>
      <c r="C120" s="18"/>
      <c r="D120" s="22"/>
      <c r="E120" s="19"/>
      <c r="F120" s="20"/>
      <c r="G120" s="16">
        <f>IF(AND(E120="",F120=""),"",IF(OR(E120="",F120=""),"falta dato",E120*F120))</f>
      </c>
      <c r="H120" s="20"/>
      <c r="I120" s="16">
        <f>IF(G120="","",IF(ISNUMBER(G120),G120-IF(H120="",0,H120),"falta dato"))</f>
      </c>
    </row>
    <row r="121" spans="1:9" x14ac:dyDescent="0.25">
      <c r="A121" s="17"/>
      <c r="B121" s="18"/>
      <c r="C121" s="18"/>
      <c r="D121" s="22"/>
      <c r="E121" s="19"/>
      <c r="F121" s="20"/>
      <c r="G121" s="16">
        <f>IF(AND(E121="",F121=""),"",IF(OR(E121="",F121=""),"falta dato",E121*F121))</f>
      </c>
      <c r="H121" s="20"/>
      <c r="I121" s="16">
        <f>IF(G121="","",IF(ISNUMBER(G121),G121-IF(H121="",0,H121),"falta dato"))</f>
      </c>
    </row>
    <row r="122" spans="1:9" x14ac:dyDescent="0.25">
      <c r="A122" s="17"/>
      <c r="B122" s="18"/>
      <c r="C122" s="18"/>
      <c r="D122" s="22"/>
      <c r="E122" s="19"/>
      <c r="F122" s="20"/>
      <c r="G122" s="16">
        <f>IF(AND(E122="",F122=""),"",IF(OR(E122="",F122=""),"falta dato",E122*F122))</f>
      </c>
      <c r="H122" s="20"/>
      <c r="I122" s="16">
        <f>IF(G122="","",IF(ISNUMBER(G122),G122-IF(H122="",0,H122),"falta dato"))</f>
      </c>
    </row>
    <row r="123" spans="1:9" x14ac:dyDescent="0.25">
      <c r="A123" s="17"/>
      <c r="B123" s="18"/>
      <c r="C123" s="18"/>
      <c r="D123" s="22"/>
      <c r="E123" s="19"/>
      <c r="F123" s="20"/>
      <c r="G123" s="16">
        <f>IF(AND(E123="",F123=""),"",IF(OR(E123="",F123=""),"falta dato",E123*F123))</f>
      </c>
      <c r="H123" s="20"/>
      <c r="I123" s="16">
        <f>IF(G123="","",IF(ISNUMBER(G123),G123-IF(H123="",0,H123),"falta dato"))</f>
      </c>
    </row>
    <row r="124" spans="1:9" x14ac:dyDescent="0.25">
      <c r="A124" s="17"/>
      <c r="B124" s="18"/>
      <c r="C124" s="18"/>
      <c r="D124" s="22"/>
      <c r="E124" s="19"/>
      <c r="F124" s="20"/>
      <c r="G124" s="16">
        <f>IF(AND(E124="",F124=""),"",IF(OR(E124="",F124=""),"falta dato",E124*F124))</f>
      </c>
      <c r="H124" s="20"/>
      <c r="I124" s="16">
        <f>IF(G124="","",IF(ISNUMBER(G124),G124-IF(H124="",0,H124),"falta dato"))</f>
      </c>
    </row>
    <row r="125" spans="1:9" x14ac:dyDescent="0.25">
      <c r="A125" s="17"/>
      <c r="B125" s="18"/>
      <c r="C125" s="18"/>
      <c r="D125" s="22"/>
      <c r="E125" s="19"/>
      <c r="F125" s="20"/>
      <c r="G125" s="16">
        <f>IF(AND(E125="",F125=""),"",IF(OR(E125="",F125=""),"falta dato",E125*F125))</f>
      </c>
      <c r="H125" s="20"/>
      <c r="I125" s="16">
        <f>IF(G125="","",IF(ISNUMBER(G125),G125-IF(H125="",0,H125),"falta dato"))</f>
      </c>
    </row>
    <row r="126" spans="1:9" x14ac:dyDescent="0.25">
      <c r="A126" s="17"/>
      <c r="B126" s="18"/>
      <c r="C126" s="18"/>
      <c r="D126" s="22"/>
      <c r="E126" s="19"/>
      <c r="F126" s="20"/>
      <c r="G126" s="16">
        <f>IF(AND(E126="",F126=""),"",IF(OR(E126="",F126=""),"falta dato",E126*F126))</f>
      </c>
      <c r="H126" s="20"/>
      <c r="I126" s="16">
        <f>IF(G126="","",IF(ISNUMBER(G126),G126-IF(H126="",0,H126),"falta dato"))</f>
      </c>
    </row>
    <row r="127" spans="1:9" x14ac:dyDescent="0.25">
      <c r="A127" s="17"/>
      <c r="B127" s="18"/>
      <c r="C127" s="18"/>
      <c r="D127" s="22"/>
      <c r="E127" s="19"/>
      <c r="F127" s="20"/>
      <c r="G127" s="16">
        <f>IF(AND(E127="",F127=""),"",IF(OR(E127="",F127=""),"falta dato",E127*F127))</f>
      </c>
      <c r="H127" s="20"/>
      <c r="I127" s="16">
        <f>IF(G127="","",IF(ISNUMBER(G127),G127-IF(H127="",0,H127),"falta dato"))</f>
      </c>
    </row>
    <row r="128" spans="1:9" x14ac:dyDescent="0.25">
      <c r="A128" s="17"/>
      <c r="B128" s="18"/>
      <c r="C128" s="18"/>
      <c r="D128" s="22"/>
      <c r="E128" s="19"/>
      <c r="F128" s="20"/>
      <c r="G128" s="16">
        <f>IF(AND(E128="",F128=""),"",IF(OR(E128="",F128=""),"falta dato",E128*F128))</f>
      </c>
      <c r="H128" s="20"/>
      <c r="I128" s="16">
        <f>IF(G128="","",IF(ISNUMBER(G128),G128-IF(H128="",0,H128),"falta dato"))</f>
      </c>
    </row>
    <row r="129" spans="1:9" x14ac:dyDescent="0.25">
      <c r="A129" s="17"/>
      <c r="B129" s="18"/>
      <c r="C129" s="18"/>
      <c r="D129" s="22"/>
      <c r="E129" s="19"/>
      <c r="F129" s="20"/>
      <c r="G129" s="16">
        <f>IF(AND(E129="",F129=""),"",IF(OR(E129="",F129=""),"falta dato",E129*F129))</f>
      </c>
      <c r="H129" s="20"/>
      <c r="I129" s="16">
        <f>IF(G129="","",IF(ISNUMBER(G129),G129-IF(H129="",0,H129),"falta dato"))</f>
      </c>
    </row>
    <row r="130" spans="1:9" x14ac:dyDescent="0.25">
      <c r="A130" s="17"/>
      <c r="B130" s="18"/>
      <c r="C130" s="18"/>
      <c r="D130" s="22"/>
      <c r="E130" s="19"/>
      <c r="F130" s="20"/>
      <c r="G130" s="16">
        <f>IF(AND(E130="",F130=""),"",IF(OR(E130="",F130=""),"falta dato",E130*F130))</f>
      </c>
      <c r="H130" s="20"/>
      <c r="I130" s="16">
        <f>IF(G130="","",IF(ISNUMBER(G130),G130-IF(H130="",0,H130),"falta dato"))</f>
      </c>
    </row>
    <row r="131" spans="1:9" x14ac:dyDescent="0.25">
      <c r="A131" s="17"/>
      <c r="B131" s="18"/>
      <c r="C131" s="18"/>
      <c r="D131" s="22"/>
      <c r="E131" s="19"/>
      <c r="F131" s="20"/>
      <c r="G131" s="16">
        <f>IF(AND(E131="",F131=""),"",IF(OR(E131="",F131=""),"falta dato",E131*F131))</f>
      </c>
      <c r="H131" s="20"/>
      <c r="I131" s="16">
        <f>IF(G131="","",IF(ISNUMBER(G131),G131-IF(H131="",0,H131),"falta dato"))</f>
      </c>
    </row>
    <row r="132" spans="1:9" x14ac:dyDescent="0.25">
      <c r="A132" s="17"/>
      <c r="B132" s="18"/>
      <c r="C132" s="18"/>
      <c r="D132" s="22"/>
      <c r="E132" s="19"/>
      <c r="F132" s="20"/>
      <c r="G132" s="16">
        <f>IF(AND(E132="",F132=""),"",IF(OR(E132="",F132=""),"falta dato",E132*F132))</f>
      </c>
      <c r="H132" s="20"/>
      <c r="I132" s="16">
        <f>IF(G132="","",IF(ISNUMBER(G132),G132-IF(H132="",0,H132),"falta dato"))</f>
      </c>
    </row>
    <row r="133" spans="1:9" x14ac:dyDescent="0.25">
      <c r="A133" s="17"/>
      <c r="B133" s="18"/>
      <c r="C133" s="18"/>
      <c r="D133" s="22"/>
      <c r="E133" s="19"/>
      <c r="F133" s="20"/>
      <c r="G133" s="16">
        <f>IF(AND(E133="",F133=""),"",IF(OR(E133="",F133=""),"falta dato",E133*F133))</f>
      </c>
      <c r="H133" s="20"/>
      <c r="I133" s="16">
        <f>IF(G133="","",IF(ISNUMBER(G133),G133-IF(H133="",0,H133),"falta dato"))</f>
      </c>
    </row>
    <row r="134" spans="1:9" x14ac:dyDescent="0.25">
      <c r="A134" s="17"/>
      <c r="B134" s="18"/>
      <c r="C134" s="18"/>
      <c r="D134" s="22"/>
      <c r="E134" s="19"/>
      <c r="F134" s="20"/>
      <c r="G134" s="16">
        <f>IF(AND(E134="",F134=""),"",IF(OR(E134="",F134=""),"falta dato",E134*F134))</f>
      </c>
      <c r="H134" s="20"/>
      <c r="I134" s="16">
        <f>IF(G134="","",IF(ISNUMBER(G134),G134-IF(H134="",0,H134),"falta dato"))</f>
      </c>
    </row>
    <row r="135" spans="1:9" x14ac:dyDescent="0.25">
      <c r="A135" s="17"/>
      <c r="B135" s="18"/>
      <c r="C135" s="18"/>
      <c r="D135" s="22"/>
      <c r="E135" s="19"/>
      <c r="F135" s="20"/>
      <c r="G135" s="16">
        <f>IF(AND(E135="",F135=""),"",IF(OR(E135="",F135=""),"falta dato",E135*F135))</f>
      </c>
      <c r="H135" s="20"/>
      <c r="I135" s="16">
        <f>IF(G135="","",IF(ISNUMBER(G135),G135-IF(H135="",0,H135),"falta dato"))</f>
      </c>
    </row>
    <row r="136" spans="1:9" x14ac:dyDescent="0.25">
      <c r="A136" s="17"/>
      <c r="B136" s="18"/>
      <c r="C136" s="18"/>
      <c r="D136" s="22"/>
      <c r="E136" s="19"/>
      <c r="F136" s="20"/>
      <c r="G136" s="16">
        <f>IF(AND(E136="",F136=""),"",IF(OR(E136="",F136=""),"falta dato",E136*F136))</f>
      </c>
      <c r="H136" s="20"/>
      <c r="I136" s="16">
        <f>IF(G136="","",IF(ISNUMBER(G136),G136-IF(H136="",0,H136),"falta dato"))</f>
      </c>
    </row>
    <row r="137" spans="1:9" x14ac:dyDescent="0.25">
      <c r="A137" s="17"/>
      <c r="B137" s="18"/>
      <c r="C137" s="18"/>
      <c r="D137" s="22"/>
      <c r="E137" s="19"/>
      <c r="F137" s="20"/>
      <c r="G137" s="16">
        <f>IF(AND(E137="",F137=""),"",IF(OR(E137="",F137=""),"falta dato",E137*F137))</f>
      </c>
      <c r="H137" s="20"/>
      <c r="I137" s="16">
        <f>IF(G137="","",IF(ISNUMBER(G137),G137-IF(H137="",0,H137),"falta dato"))</f>
      </c>
    </row>
    <row r="138" spans="1:9" x14ac:dyDescent="0.25">
      <c r="A138" s="17"/>
      <c r="B138" s="18"/>
      <c r="C138" s="18"/>
      <c r="D138" s="22"/>
      <c r="E138" s="19"/>
      <c r="F138" s="20"/>
      <c r="G138" s="16">
        <f>IF(AND(E138="",F138=""),"",IF(OR(E138="",F138=""),"falta dato",E138*F138))</f>
      </c>
      <c r="H138" s="20"/>
      <c r="I138" s="16">
        <f>IF(G138="","",IF(ISNUMBER(G138),G138-IF(H138="",0,H138),"falta dato"))</f>
      </c>
    </row>
    <row r="139" spans="1:9" x14ac:dyDescent="0.25">
      <c r="A139" s="17"/>
      <c r="B139" s="18"/>
      <c r="C139" s="18"/>
      <c r="D139" s="22"/>
      <c r="E139" s="19"/>
      <c r="F139" s="20"/>
      <c r="G139" s="16">
        <f>IF(AND(E139="",F139=""),"",IF(OR(E139="",F139=""),"falta dato",E139*F139))</f>
      </c>
      <c r="H139" s="20"/>
      <c r="I139" s="16">
        <f>IF(G139="","",IF(ISNUMBER(G139),G139-IF(H139="",0,H139),"falta dato"))</f>
      </c>
    </row>
    <row r="140" spans="1:9" x14ac:dyDescent="0.25">
      <c r="A140" s="17"/>
      <c r="B140" s="18"/>
      <c r="C140" s="18"/>
      <c r="D140" s="22"/>
      <c r="E140" s="19"/>
      <c r="F140" s="20"/>
      <c r="G140" s="16">
        <f>IF(AND(E140="",F140=""),"",IF(OR(E140="",F140=""),"falta dato",E140*F140))</f>
      </c>
      <c r="H140" s="20"/>
      <c r="I140" s="16">
        <f>IF(G140="","",IF(ISNUMBER(G140),G140-IF(H140="",0,H140),"falta dato"))</f>
      </c>
    </row>
    <row r="141" spans="1:9" x14ac:dyDescent="0.25">
      <c r="A141" s="17"/>
      <c r="B141" s="18"/>
      <c r="C141" s="18"/>
      <c r="D141" s="22"/>
      <c r="E141" s="19"/>
      <c r="F141" s="20"/>
      <c r="G141" s="16">
        <f>IF(AND(E141="",F141=""),"",IF(OR(E141="",F141=""),"falta dato",E141*F141))</f>
      </c>
      <c r="H141" s="20"/>
      <c r="I141" s="16">
        <f>IF(G141="","",IF(ISNUMBER(G141),G141-IF(H141="",0,H141),"falta dato"))</f>
      </c>
    </row>
    <row r="142" spans="1:9" x14ac:dyDescent="0.25">
      <c r="A142" s="17"/>
      <c r="B142" s="18"/>
      <c r="C142" s="18"/>
      <c r="D142" s="22"/>
      <c r="E142" s="19"/>
      <c r="F142" s="20"/>
      <c r="G142" s="16">
        <f>IF(AND(E142="",F142=""),"",IF(OR(E142="",F142=""),"falta dato",E142*F142))</f>
      </c>
      <c r="H142" s="20"/>
      <c r="I142" s="16">
        <f>IF(G142="","",IF(ISNUMBER(G142),G142-IF(H142="",0,H142),"falta dato"))</f>
      </c>
    </row>
    <row r="143" spans="1:9" x14ac:dyDescent="0.25">
      <c r="A143" s="17"/>
      <c r="B143" s="18"/>
      <c r="C143" s="18"/>
      <c r="D143" s="22"/>
      <c r="E143" s="19"/>
      <c r="F143" s="20"/>
      <c r="G143" s="16">
        <f>IF(AND(E143="",F143=""),"",IF(OR(E143="",F143=""),"falta dato",E143*F143))</f>
      </c>
      <c r="H143" s="20"/>
      <c r="I143" s="16">
        <f>IF(G143="","",IF(ISNUMBER(G143),G143-IF(H143="",0,H143),"falta dato"))</f>
      </c>
    </row>
    <row r="144" spans="1:9" x14ac:dyDescent="0.25">
      <c r="A144" s="17"/>
      <c r="B144" s="18"/>
      <c r="C144" s="18"/>
      <c r="D144" s="22"/>
      <c r="E144" s="19"/>
      <c r="F144" s="20"/>
      <c r="G144" s="16">
        <f>IF(AND(E144="",F144=""),"",IF(OR(E144="",F144=""),"falta dato",E144*F144))</f>
      </c>
      <c r="H144" s="20"/>
      <c r="I144" s="16">
        <f>IF(G144="","",IF(ISNUMBER(G144),G144-IF(H144="",0,H144),"falta dato"))</f>
      </c>
    </row>
    <row r="145" spans="1:9" x14ac:dyDescent="0.25">
      <c r="A145" s="17"/>
      <c r="B145" s="18"/>
      <c r="C145" s="18"/>
      <c r="D145" s="22"/>
      <c r="E145" s="19"/>
      <c r="F145" s="20"/>
      <c r="G145" s="16">
        <f>IF(AND(E145="",F145=""),"",IF(OR(E145="",F145=""),"falta dato",E145*F145))</f>
      </c>
      <c r="H145" s="20"/>
      <c r="I145" s="16">
        <f>IF(G145="","",IF(ISNUMBER(G145),G145-IF(H145="",0,H145),"falta dato"))</f>
      </c>
    </row>
    <row r="146" spans="1:9" x14ac:dyDescent="0.25">
      <c r="A146" s="17"/>
      <c r="B146" s="18"/>
      <c r="C146" s="18"/>
      <c r="D146" s="22"/>
      <c r="E146" s="19"/>
      <c r="F146" s="20"/>
      <c r="G146" s="16">
        <f>IF(AND(E146="",F146=""),"",IF(OR(E146="",F146=""),"falta dato",E146*F146))</f>
      </c>
      <c r="H146" s="20"/>
      <c r="I146" s="16">
        <f>IF(G146="","",IF(ISNUMBER(G146),G146-IF(H146="",0,H146),"falta dato"))</f>
      </c>
    </row>
    <row r="147" spans="1:9" x14ac:dyDescent="0.25">
      <c r="A147" s="17"/>
      <c r="B147" s="18"/>
      <c r="C147" s="18"/>
      <c r="D147" s="22"/>
      <c r="E147" s="19"/>
      <c r="F147" s="20"/>
      <c r="G147" s="16">
        <f>IF(AND(E147="",F147=""),"",IF(OR(E147="",F147=""),"falta dato",E147*F147))</f>
      </c>
      <c r="H147" s="20"/>
      <c r="I147" s="16">
        <f>IF(G147="","",IF(ISNUMBER(G147),G147-IF(H147="",0,H147),"falta dato"))</f>
      </c>
    </row>
    <row r="148" spans="1:9" x14ac:dyDescent="0.25">
      <c r="A148" s="17"/>
      <c r="B148" s="18"/>
      <c r="C148" s="18"/>
      <c r="D148" s="22"/>
      <c r="E148" s="19"/>
      <c r="F148" s="20"/>
      <c r="G148" s="16">
        <f>IF(AND(E148="",F148=""),"",IF(OR(E148="",F148=""),"falta dato",E148*F148))</f>
      </c>
      <c r="H148" s="20"/>
      <c r="I148" s="16">
        <f>IF(G148="","",IF(ISNUMBER(G148),G148-IF(H148="",0,H148),"falta dato"))</f>
      </c>
    </row>
    <row r="149" spans="1:9" x14ac:dyDescent="0.25">
      <c r="A149" s="17"/>
      <c r="B149" s="18"/>
      <c r="C149" s="18"/>
      <c r="D149" s="22"/>
      <c r="E149" s="19"/>
      <c r="F149" s="20"/>
      <c r="G149" s="16">
        <f>IF(AND(E149="",F149=""),"",IF(OR(E149="",F149=""),"falta dato",E149*F149))</f>
      </c>
      <c r="H149" s="20"/>
      <c r="I149" s="16">
        <f>IF(G149="","",IF(ISNUMBER(G149),G149-IF(H149="",0,H149),"falta dato"))</f>
      </c>
    </row>
    <row r="150" spans="1:9" x14ac:dyDescent="0.25">
      <c r="A150" s="17"/>
      <c r="B150" s="18"/>
      <c r="C150" s="18"/>
      <c r="D150" s="22"/>
      <c r="E150" s="19"/>
      <c r="F150" s="20"/>
      <c r="G150" s="16">
        <f>IF(AND(E150="",F150=""),"",IF(OR(E150="",F150=""),"falta dato",E150*F150))</f>
      </c>
      <c r="H150" s="20"/>
      <c r="I150" s="16">
        <f>IF(G150="","",IF(ISNUMBER(G150),G150-IF(H150="",0,H150),"falta dato"))</f>
      </c>
    </row>
    <row r="151" spans="1:9" x14ac:dyDescent="0.25">
      <c r="A151" s="17"/>
      <c r="B151" s="18"/>
      <c r="C151" s="18"/>
      <c r="D151" s="22"/>
      <c r="E151" s="19"/>
      <c r="F151" s="20"/>
      <c r="G151" s="16">
        <f>IF(AND(E151="",F151=""),"",IF(OR(E151="",F151=""),"falta dato",E151*F151))</f>
      </c>
      <c r="H151" s="20"/>
      <c r="I151" s="16">
        <f>IF(G151="","",IF(ISNUMBER(G151),G151-IF(H151="",0,H151),"falta dato"))</f>
      </c>
    </row>
    <row r="152" spans="1:9" x14ac:dyDescent="0.25">
      <c r="A152" s="17"/>
      <c r="B152" s="18"/>
      <c r="C152" s="18"/>
      <c r="D152" s="22"/>
      <c r="E152" s="19"/>
      <c r="F152" s="20"/>
      <c r="G152" s="16">
        <f>IF(AND(E152="",F152=""),"",IF(OR(E152="",F152=""),"falta dato",E152*F152))</f>
      </c>
      <c r="H152" s="20"/>
      <c r="I152" s="16">
        <f>IF(G152="","",IF(ISNUMBER(G152),G152-IF(H152="",0,H152),"falta dato"))</f>
      </c>
    </row>
    <row r="153" spans="1:9" x14ac:dyDescent="0.25">
      <c r="A153" s="17"/>
      <c r="B153" s="18"/>
      <c r="C153" s="18"/>
      <c r="D153" s="22"/>
      <c r="E153" s="19"/>
      <c r="F153" s="20"/>
      <c r="G153" s="16">
        <f>IF(AND(E153="",F153=""),"",IF(OR(E153="",F153=""),"falta dato",E153*F153))</f>
      </c>
      <c r="H153" s="20"/>
      <c r="I153" s="16">
        <f>IF(G153="","",IF(ISNUMBER(G153),G153-IF(H153="",0,H153),"falta dato"))</f>
      </c>
    </row>
    <row r="154" spans="1:9" x14ac:dyDescent="0.25">
      <c r="A154" s="17"/>
      <c r="B154" s="18"/>
      <c r="C154" s="18"/>
      <c r="D154" s="22"/>
      <c r="E154" s="19"/>
      <c r="F154" s="20"/>
      <c r="G154" s="16">
        <f>IF(AND(E154="",F154=""),"",IF(OR(E154="",F154=""),"falta dato",E154*F154))</f>
      </c>
      <c r="H154" s="20"/>
      <c r="I154" s="16">
        <f>IF(G154="","",IF(ISNUMBER(G154),G154-IF(H154="",0,H154),"falta dato"))</f>
      </c>
    </row>
    <row r="155" spans="1:9" x14ac:dyDescent="0.25">
      <c r="A155" s="17"/>
      <c r="B155" s="18"/>
      <c r="C155" s="18"/>
      <c r="D155" s="22"/>
      <c r="E155" s="19"/>
      <c r="F155" s="20"/>
      <c r="G155" s="16">
        <f>IF(AND(E155="",F155=""),"",IF(OR(E155="",F155=""),"falta dato",E155*F155))</f>
      </c>
      <c r="H155" s="20"/>
      <c r="I155" s="16">
        <f>IF(G155="","",IF(ISNUMBER(G155),G155-IF(H155="",0,H155),"falta dato"))</f>
      </c>
    </row>
    <row r="156" spans="1:9" x14ac:dyDescent="0.25">
      <c r="A156" s="17"/>
      <c r="B156" s="18"/>
      <c r="C156" s="18"/>
      <c r="D156" s="22"/>
      <c r="E156" s="19"/>
      <c r="F156" s="20"/>
      <c r="G156" s="16">
        <f>IF(AND(E156="",F156=""),"",IF(OR(E156="",F156=""),"falta dato",E156*F156))</f>
      </c>
      <c r="H156" s="20"/>
      <c r="I156" s="16">
        <f>IF(G156="","",IF(ISNUMBER(G156),G156-IF(H156="",0,H156),"falta dato"))</f>
      </c>
    </row>
    <row r="157" spans="1:9" x14ac:dyDescent="0.25">
      <c r="A157" s="17"/>
      <c r="B157" s="18"/>
      <c r="C157" s="18"/>
      <c r="D157" s="22"/>
      <c r="E157" s="19"/>
      <c r="F157" s="20"/>
      <c r="G157" s="16">
        <f>IF(AND(E157="",F157=""),"",IF(OR(E157="",F157=""),"falta dato",E157*F157))</f>
      </c>
      <c r="H157" s="20"/>
      <c r="I157" s="16">
        <f>IF(G157="","",IF(ISNUMBER(G157),G157-IF(H157="",0,H157),"falta dato"))</f>
      </c>
    </row>
    <row r="158" spans="1:9" x14ac:dyDescent="0.25">
      <c r="A158" s="17"/>
      <c r="B158" s="18"/>
      <c r="C158" s="18"/>
      <c r="D158" s="22"/>
      <c r="E158" s="19"/>
      <c r="F158" s="20"/>
      <c r="G158" s="16">
        <f>IF(AND(E158="",F158=""),"",IF(OR(E158="",F158=""),"falta dato",E158*F158))</f>
      </c>
      <c r="H158" s="20"/>
      <c r="I158" s="16">
        <f>IF(G158="","",IF(ISNUMBER(G158),G158-IF(H158="",0,H158),"falta dato"))</f>
      </c>
    </row>
    <row r="159" spans="1:9" x14ac:dyDescent="0.25">
      <c r="A159" s="17"/>
      <c r="B159" s="18"/>
      <c r="C159" s="18"/>
      <c r="D159" s="22"/>
      <c r="E159" s="19"/>
      <c r="F159" s="20"/>
      <c r="G159" s="16">
        <f>IF(AND(E159="",F159=""),"",IF(OR(E159="",F159=""),"falta dato",E159*F159))</f>
      </c>
      <c r="H159" s="20"/>
      <c r="I159" s="16">
        <f>IF(G159="","",IF(ISNUMBER(G159),G159-IF(H159="",0,H159),"falta dato"))</f>
      </c>
    </row>
    <row r="160" spans="1:9" x14ac:dyDescent="0.25">
      <c r="A160" s="17"/>
      <c r="B160" s="18"/>
      <c r="C160" s="18"/>
      <c r="D160" s="22"/>
      <c r="E160" s="19"/>
      <c r="F160" s="20"/>
      <c r="G160" s="16">
        <f>IF(AND(E160="",F160=""),"",IF(OR(E160="",F160=""),"falta dato",E160*F160))</f>
      </c>
      <c r="H160" s="20"/>
      <c r="I160" s="16">
        <f>IF(G160="","",IF(ISNUMBER(G160),G160-IF(H160="",0,H160),"falta dato"))</f>
      </c>
    </row>
    <row r="161" spans="1:9" x14ac:dyDescent="0.25">
      <c r="A161" s="17"/>
      <c r="B161" s="18"/>
      <c r="C161" s="18"/>
      <c r="D161" s="22"/>
      <c r="E161" s="19"/>
      <c r="F161" s="20"/>
      <c r="G161" s="16">
        <f>IF(AND(E161="",F161=""),"",IF(OR(E161="",F161=""),"falta dato",E161*F161))</f>
      </c>
      <c r="H161" s="20"/>
      <c r="I161" s="16">
        <f>IF(G161="","",IF(ISNUMBER(G161),G161-IF(H161="",0,H161),"falta dato"))</f>
      </c>
    </row>
    <row r="162" spans="1:9" x14ac:dyDescent="0.25">
      <c r="A162" s="17"/>
      <c r="B162" s="18"/>
      <c r="C162" s="18"/>
      <c r="D162" s="22"/>
      <c r="E162" s="19"/>
      <c r="F162" s="20"/>
      <c r="G162" s="16">
        <f>IF(AND(E162="",F162=""),"",IF(OR(E162="",F162=""),"falta dato",E162*F162))</f>
      </c>
      <c r="H162" s="20"/>
      <c r="I162" s="16">
        <f>IF(G162="","",IF(ISNUMBER(G162),G162-IF(H162="",0,H162),"falta dato"))</f>
      </c>
    </row>
    <row r="163" spans="1:9" x14ac:dyDescent="0.25">
      <c r="A163" s="17"/>
      <c r="B163" s="18"/>
      <c r="C163" s="18"/>
      <c r="D163" s="22"/>
      <c r="E163" s="19"/>
      <c r="F163" s="20"/>
      <c r="G163" s="16">
        <f>IF(AND(E163="",F163=""),"",IF(OR(E163="",F163=""),"falta dato",E163*F163))</f>
      </c>
      <c r="H163" s="20"/>
      <c r="I163" s="16">
        <f>IF(G163="","",IF(ISNUMBER(G163),G163-IF(H163="",0,H163),"falta dato"))</f>
      </c>
    </row>
    <row r="164" spans="1:9" x14ac:dyDescent="0.25">
      <c r="A164" s="17"/>
      <c r="B164" s="18"/>
      <c r="C164" s="18"/>
      <c r="D164" s="22"/>
      <c r="E164" s="19"/>
      <c r="F164" s="20"/>
      <c r="G164" s="16">
        <f>IF(AND(E164="",F164=""),"",IF(OR(E164="",F164=""),"falta dato",E164*F164))</f>
      </c>
      <c r="H164" s="20"/>
      <c r="I164" s="16">
        <f>IF(G164="","",IF(ISNUMBER(G164),G164-IF(H164="",0,H164),"falta dato"))</f>
      </c>
    </row>
    <row r="165" spans="1:9" x14ac:dyDescent="0.25">
      <c r="A165" s="17"/>
      <c r="B165" s="18"/>
      <c r="C165" s="18"/>
      <c r="D165" s="22"/>
      <c r="E165" s="19"/>
      <c r="F165" s="20"/>
      <c r="G165" s="16">
        <f>IF(AND(E165="",F165=""),"",IF(OR(E165="",F165=""),"falta dato",E165*F165))</f>
      </c>
      <c r="H165" s="20"/>
      <c r="I165" s="16">
        <f>IF(G165="","",IF(ISNUMBER(G165),G165-IF(H165="",0,H165),"falta dato"))</f>
      </c>
    </row>
    <row r="166" spans="1:9" x14ac:dyDescent="0.25">
      <c r="A166" s="17"/>
      <c r="B166" s="18"/>
      <c r="C166" s="18"/>
      <c r="D166" s="22"/>
      <c r="E166" s="19"/>
      <c r="F166" s="20"/>
      <c r="G166" s="16">
        <f>IF(AND(E166="",F166=""),"",IF(OR(E166="",F166=""),"falta dato",E166*F166))</f>
      </c>
      <c r="H166" s="20"/>
      <c r="I166" s="16">
        <f>IF(G166="","",IF(ISNUMBER(G166),G166-IF(H166="",0,H166),"falta dato"))</f>
      </c>
    </row>
    <row r="167" spans="1:9" x14ac:dyDescent="0.25">
      <c r="A167" s="17"/>
      <c r="B167" s="18"/>
      <c r="C167" s="18"/>
      <c r="D167" s="22"/>
      <c r="E167" s="19"/>
      <c r="F167" s="20"/>
      <c r="G167" s="16">
        <f>IF(AND(E167="",F167=""),"",IF(OR(E167="",F167=""),"falta dato",E167*F167))</f>
      </c>
      <c r="H167" s="20"/>
      <c r="I167" s="16">
        <f>IF(G167="","",IF(ISNUMBER(G167),G167-IF(H167="",0,H167),"falta dato"))</f>
      </c>
    </row>
    <row r="168" spans="1:9" x14ac:dyDescent="0.25">
      <c r="A168" s="17"/>
      <c r="B168" s="18"/>
      <c r="C168" s="18"/>
      <c r="D168" s="22"/>
      <c r="E168" s="19"/>
      <c r="F168" s="20"/>
      <c r="G168" s="16">
        <f>IF(AND(E168="",F168=""),"",IF(OR(E168="",F168=""),"falta dato",E168*F168))</f>
      </c>
      <c r="H168" s="20"/>
      <c r="I168" s="16">
        <f>IF(G168="","",IF(ISNUMBER(G168),G168-IF(H168="",0,H168),"falta dato"))</f>
      </c>
    </row>
    <row r="169" spans="1:9" x14ac:dyDescent="0.25">
      <c r="A169" s="17"/>
      <c r="B169" s="18"/>
      <c r="C169" s="18"/>
      <c r="D169" s="22"/>
      <c r="E169" s="19"/>
      <c r="F169" s="20"/>
      <c r="G169" s="16">
        <f>IF(AND(E169="",F169=""),"",IF(OR(E169="",F169=""),"falta dato",E169*F169))</f>
      </c>
      <c r="H169" s="20"/>
      <c r="I169" s="16">
        <f>IF(G169="","",IF(ISNUMBER(G169),G169-IF(H169="",0,H169),"falta dato"))</f>
      </c>
    </row>
    <row r="170" spans="1:9" x14ac:dyDescent="0.25">
      <c r="A170" s="17"/>
      <c r="B170" s="18"/>
      <c r="C170" s="18"/>
      <c r="D170" s="22"/>
      <c r="E170" s="19"/>
      <c r="F170" s="20"/>
      <c r="G170" s="16">
        <f>IF(AND(E170="",F170=""),"",IF(OR(E170="",F170=""),"falta dato",E170*F170))</f>
      </c>
      <c r="H170" s="20"/>
      <c r="I170" s="16">
        <f>IF(G170="","",IF(ISNUMBER(G170),G170-IF(H170="",0,H170),"falta dato"))</f>
      </c>
    </row>
    <row r="171" spans="1:9" x14ac:dyDescent="0.25">
      <c r="A171" s="17"/>
      <c r="B171" s="18"/>
      <c r="C171" s="18"/>
      <c r="D171" s="22"/>
      <c r="E171" s="19"/>
      <c r="F171" s="20"/>
      <c r="G171" s="16">
        <f>IF(AND(E171="",F171=""),"",IF(OR(E171="",F171=""),"falta dato",E171*F171))</f>
      </c>
      <c r="H171" s="20"/>
      <c r="I171" s="16">
        <f>IF(G171="","",IF(ISNUMBER(G171),G171-IF(H171="",0,H171),"falta dato"))</f>
      </c>
    </row>
    <row r="172" spans="1:9" x14ac:dyDescent="0.25">
      <c r="A172" s="17"/>
      <c r="B172" s="18"/>
      <c r="C172" s="18"/>
      <c r="D172" s="22"/>
      <c r="E172" s="19"/>
      <c r="F172" s="20"/>
      <c r="G172" s="16">
        <f>IF(AND(E172="",F172=""),"",IF(OR(E172="",F172=""),"falta dato",E172*F172))</f>
      </c>
      <c r="H172" s="20"/>
      <c r="I172" s="16">
        <f>IF(G172="","",IF(ISNUMBER(G172),G172-IF(H172="",0,H172),"falta dato"))</f>
      </c>
    </row>
    <row r="173" spans="1:9" x14ac:dyDescent="0.25">
      <c r="A173" s="17"/>
      <c r="B173" s="18"/>
      <c r="C173" s="18"/>
      <c r="D173" s="22"/>
      <c r="E173" s="19"/>
      <c r="F173" s="20"/>
      <c r="G173" s="16">
        <f>IF(AND(E173="",F173=""),"",IF(OR(E173="",F173=""),"falta dato",E173*F173))</f>
      </c>
      <c r="H173" s="20"/>
      <c r="I173" s="16">
        <f>IF(G173="","",IF(ISNUMBER(G173),G173-IF(H173="",0,H173),"falta dato"))</f>
      </c>
    </row>
    <row r="174" spans="1:9" x14ac:dyDescent="0.25">
      <c r="A174" s="17"/>
      <c r="B174" s="18"/>
      <c r="C174" s="18"/>
      <c r="D174" s="22"/>
      <c r="E174" s="19"/>
      <c r="F174" s="20"/>
      <c r="G174" s="16">
        <f>IF(AND(E174="",F174=""),"",IF(OR(E174="",F174=""),"falta dato",E174*F174))</f>
      </c>
      <c r="H174" s="20"/>
      <c r="I174" s="16">
        <f>IF(G174="","",IF(ISNUMBER(G174),G174-IF(H174="",0,H174),"falta dato"))</f>
      </c>
    </row>
    <row r="175" spans="1:9" x14ac:dyDescent="0.25">
      <c r="A175" s="17"/>
      <c r="B175" s="18"/>
      <c r="C175" s="18"/>
      <c r="D175" s="22"/>
      <c r="E175" s="19"/>
      <c r="F175" s="20"/>
      <c r="G175" s="16">
        <f>IF(AND(E175="",F175=""),"",IF(OR(E175="",F175=""),"falta dato",E175*F175))</f>
      </c>
      <c r="H175" s="20"/>
      <c r="I175" s="16">
        <f>IF(G175="","",IF(ISNUMBER(G175),G175-IF(H175="",0,H175),"falta dato"))</f>
      </c>
    </row>
    <row r="176" spans="1:9" x14ac:dyDescent="0.25">
      <c r="A176" s="17"/>
      <c r="B176" s="18"/>
      <c r="C176" s="18"/>
      <c r="D176" s="22"/>
      <c r="E176" s="19"/>
      <c r="F176" s="20"/>
      <c r="G176" s="16">
        <f>IF(AND(E176="",F176=""),"",IF(OR(E176="",F176=""),"falta dato",E176*F176))</f>
      </c>
      <c r="H176" s="20"/>
      <c r="I176" s="16">
        <f>IF(G176="","",IF(ISNUMBER(G176),G176-IF(H176="",0,H176),"falta dato"))</f>
      </c>
    </row>
    <row r="177" spans="1:9" x14ac:dyDescent="0.25">
      <c r="A177" s="17"/>
      <c r="B177" s="18"/>
      <c r="C177" s="18"/>
      <c r="D177" s="22"/>
      <c r="E177" s="19"/>
      <c r="F177" s="20"/>
      <c r="G177" s="16">
        <f>IF(AND(E177="",F177=""),"",IF(OR(E177="",F177=""),"falta dato",E177*F177))</f>
      </c>
      <c r="H177" s="20"/>
      <c r="I177" s="16">
        <f>IF(G177="","",IF(ISNUMBER(G177),G177-IF(H177="",0,H177),"falta dato"))</f>
      </c>
    </row>
    <row r="178" spans="1:9" x14ac:dyDescent="0.25">
      <c r="A178" s="17"/>
      <c r="B178" s="18"/>
      <c r="C178" s="18"/>
      <c r="D178" s="22"/>
      <c r="E178" s="19"/>
      <c r="F178" s="20"/>
      <c r="G178" s="16">
        <f>IF(AND(E178="",F178=""),"",IF(OR(E178="",F178=""),"falta dato",E178*F178))</f>
      </c>
      <c r="H178" s="20"/>
      <c r="I178" s="16">
        <f>IF(G178="","",IF(ISNUMBER(G178),G178-IF(H178="",0,H178),"falta dato"))</f>
      </c>
    </row>
    <row r="179" spans="1:9" x14ac:dyDescent="0.25">
      <c r="A179" s="17"/>
      <c r="B179" s="18"/>
      <c r="C179" s="18"/>
      <c r="D179" s="22"/>
      <c r="E179" s="19"/>
      <c r="F179" s="20"/>
      <c r="G179" s="16">
        <f>IF(AND(E179="",F179=""),"",IF(OR(E179="",F179=""),"falta dato",E179*F179))</f>
      </c>
      <c r="H179" s="20"/>
      <c r="I179" s="16">
        <f>IF(G179="","",IF(ISNUMBER(G179),G179-IF(H179="",0,H179),"falta dato"))</f>
      </c>
    </row>
    <row r="180" spans="1:9" x14ac:dyDescent="0.25">
      <c r="A180" s="17"/>
      <c r="B180" s="18"/>
      <c r="C180" s="18"/>
      <c r="D180" s="22"/>
      <c r="E180" s="19"/>
      <c r="F180" s="20"/>
      <c r="G180" s="16">
        <f>IF(AND(E180="",F180=""),"",IF(OR(E180="",F180=""),"falta dato",E180*F180))</f>
      </c>
      <c r="H180" s="20"/>
      <c r="I180" s="16">
        <f>IF(G180="","",IF(ISNUMBER(G180),G180-IF(H180="",0,H180),"falta dato"))</f>
      </c>
    </row>
    <row r="181" spans="1:9" x14ac:dyDescent="0.25">
      <c r="A181" s="17"/>
      <c r="B181" s="18"/>
      <c r="C181" s="18"/>
      <c r="D181" s="22"/>
      <c r="E181" s="19"/>
      <c r="F181" s="20"/>
      <c r="G181" s="16">
        <f>IF(AND(E181="",F181=""),"",IF(OR(E181="",F181=""),"falta dato",E181*F181))</f>
      </c>
      <c r="H181" s="20"/>
      <c r="I181" s="16">
        <f>IF(G181="","",IF(ISNUMBER(G181),G181-IF(H181="",0,H181),"falta dato"))</f>
      </c>
    </row>
    <row r="182" spans="1:9" x14ac:dyDescent="0.25">
      <c r="A182" s="17"/>
      <c r="B182" s="18"/>
      <c r="C182" s="18"/>
      <c r="D182" s="22"/>
      <c r="E182" s="19"/>
      <c r="F182" s="20"/>
      <c r="G182" s="16">
        <f>IF(AND(E182="",F182=""),"",IF(OR(E182="",F182=""),"falta dato",E182*F182))</f>
      </c>
      <c r="H182" s="20"/>
      <c r="I182" s="16">
        <f>IF(G182="","",IF(ISNUMBER(G182),G182-IF(H182="",0,H182),"falta dato"))</f>
      </c>
    </row>
    <row r="183" spans="1:9" x14ac:dyDescent="0.25">
      <c r="A183" s="17"/>
      <c r="B183" s="18"/>
      <c r="C183" s="18"/>
      <c r="D183" s="22"/>
      <c r="E183" s="19"/>
      <c r="F183" s="20"/>
      <c r="G183" s="16">
        <f>IF(AND(E183="",F183=""),"",IF(OR(E183="",F183=""),"falta dato",E183*F183))</f>
      </c>
      <c r="H183" s="20"/>
      <c r="I183" s="16">
        <f>IF(G183="","",IF(ISNUMBER(G183),G183-IF(H183="",0,H183),"falta dato"))</f>
      </c>
    </row>
    <row r="184" spans="1:9" x14ac:dyDescent="0.25">
      <c r="A184" s="17"/>
      <c r="B184" s="18"/>
      <c r="C184" s="18"/>
      <c r="D184" s="22"/>
      <c r="E184" s="19"/>
      <c r="F184" s="20"/>
      <c r="G184" s="16">
        <f>IF(AND(E184="",F184=""),"",IF(OR(E184="",F184=""),"falta dato",E184*F184))</f>
      </c>
      <c r="H184" s="20"/>
      <c r="I184" s="16">
        <f>IF(G184="","",IF(ISNUMBER(G184),G184-IF(H184="",0,H184),"falta dato"))</f>
      </c>
    </row>
    <row r="185" spans="1:9" x14ac:dyDescent="0.25">
      <c r="A185" s="17"/>
      <c r="B185" s="18"/>
      <c r="C185" s="18"/>
      <c r="D185" s="22"/>
      <c r="E185" s="19"/>
      <c r="F185" s="20"/>
      <c r="G185" s="16">
        <f>IF(AND(E185="",F185=""),"",IF(OR(E185="",F185=""),"falta dato",E185*F185))</f>
      </c>
      <c r="H185" s="20"/>
      <c r="I185" s="16">
        <f>IF(G185="","",IF(ISNUMBER(G185),G185-IF(H185="",0,H185),"falta dato"))</f>
      </c>
    </row>
    <row r="186" spans="1:9" x14ac:dyDescent="0.25">
      <c r="A186" s="17"/>
      <c r="B186" s="18"/>
      <c r="C186" s="18"/>
      <c r="D186" s="22"/>
      <c r="E186" s="19"/>
      <c r="F186" s="20"/>
      <c r="G186" s="16">
        <f>IF(AND(E186="",F186=""),"",IF(OR(E186="",F186=""),"falta dato",E186*F186))</f>
      </c>
      <c r="H186" s="20"/>
      <c r="I186" s="16">
        <f>IF(G186="","",IF(ISNUMBER(G186),G186-IF(H186="",0,H186),"falta dato"))</f>
      </c>
    </row>
    <row r="187" spans="1:9" x14ac:dyDescent="0.25">
      <c r="A187" s="17"/>
      <c r="B187" s="18"/>
      <c r="C187" s="18"/>
      <c r="D187" s="22"/>
      <c r="E187" s="19"/>
      <c r="F187" s="20"/>
      <c r="G187" s="16">
        <f>IF(AND(E187="",F187=""),"",IF(OR(E187="",F187=""),"falta dato",E187*F187))</f>
      </c>
      <c r="H187" s="20"/>
      <c r="I187" s="16">
        <f>IF(G187="","",IF(ISNUMBER(G187),G187-IF(H187="",0,H187),"falta dato"))</f>
      </c>
    </row>
    <row r="188" spans="1:9" x14ac:dyDescent="0.25">
      <c r="A188" s="17"/>
      <c r="B188" s="18"/>
      <c r="C188" s="18"/>
      <c r="D188" s="22"/>
      <c r="E188" s="19"/>
      <c r="F188" s="20"/>
      <c r="G188" s="16">
        <f>IF(AND(E188="",F188=""),"",IF(OR(E188="",F188=""),"falta dato",E188*F188))</f>
      </c>
      <c r="H188" s="20"/>
      <c r="I188" s="16">
        <f>IF(G188="","",IF(ISNUMBER(G188),G188-IF(H188="",0,H188),"falta dato"))</f>
      </c>
    </row>
    <row r="189" spans="1:9" x14ac:dyDescent="0.25">
      <c r="A189" s="17"/>
      <c r="B189" s="18"/>
      <c r="C189" s="18"/>
      <c r="D189" s="22"/>
      <c r="E189" s="19"/>
      <c r="F189" s="20"/>
      <c r="G189" s="16">
        <f>IF(AND(E189="",F189=""),"",IF(OR(E189="",F189=""),"falta dato",E189*F189))</f>
      </c>
      <c r="H189" s="20"/>
      <c r="I189" s="16">
        <f>IF(G189="","",IF(ISNUMBER(G189),G189-IF(H189="",0,H189),"falta dato"))</f>
      </c>
    </row>
    <row r="190" spans="1:9" x14ac:dyDescent="0.25">
      <c r="A190" s="17"/>
      <c r="B190" s="18"/>
      <c r="C190" s="18"/>
      <c r="D190" s="22"/>
      <c r="E190" s="19"/>
      <c r="F190" s="20"/>
      <c r="G190" s="16">
        <f>IF(AND(E190="",F190=""),"",IF(OR(E190="",F190=""),"falta dato",E190*F190))</f>
      </c>
      <c r="H190" s="20"/>
      <c r="I190" s="16">
        <f>IF(G190="","",IF(ISNUMBER(G190),G190-IF(H190="",0,H190),"falta dato"))</f>
      </c>
    </row>
    <row r="191" spans="1:9" x14ac:dyDescent="0.25">
      <c r="A191" s="17"/>
      <c r="B191" s="18"/>
      <c r="C191" s="18"/>
      <c r="D191" s="22"/>
      <c r="E191" s="19"/>
      <c r="F191" s="20"/>
      <c r="G191" s="16">
        <f>IF(AND(E191="",F191=""),"",IF(OR(E191="",F191=""),"falta dato",E191*F191))</f>
      </c>
      <c r="H191" s="20"/>
      <c r="I191" s="16">
        <f>IF(G191="","",IF(ISNUMBER(G191),G191-IF(H191="",0,H191),"falta dato"))</f>
      </c>
    </row>
    <row r="192" spans="1:9" x14ac:dyDescent="0.25">
      <c r="A192" s="17"/>
      <c r="B192" s="18"/>
      <c r="C192" s="18"/>
      <c r="D192" s="22"/>
      <c r="E192" s="19"/>
      <c r="F192" s="20"/>
      <c r="G192" s="16">
        <f>IF(AND(E192="",F192=""),"",IF(OR(E192="",F192=""),"falta dato",E192*F192))</f>
      </c>
      <c r="H192" s="20"/>
      <c r="I192" s="16">
        <f>IF(G192="","",IF(ISNUMBER(G192),G192-IF(H192="",0,H192),"falta dato"))</f>
      </c>
    </row>
    <row r="193" spans="1:9" x14ac:dyDescent="0.25">
      <c r="A193" s="17"/>
      <c r="B193" s="18"/>
      <c r="C193" s="18"/>
      <c r="D193" s="22"/>
      <c r="E193" s="19"/>
      <c r="F193" s="20"/>
      <c r="G193" s="16">
        <f>IF(AND(E193="",F193=""),"",IF(OR(E193="",F193=""),"falta dato",E193*F193))</f>
      </c>
      <c r="H193" s="20"/>
      <c r="I193" s="16">
        <f>IF(G193="","",IF(ISNUMBER(G193),G193-IF(H193="",0,H193),"falta dato"))</f>
      </c>
    </row>
    <row r="194" spans="1:9" x14ac:dyDescent="0.25">
      <c r="A194" s="17"/>
      <c r="B194" s="18"/>
      <c r="C194" s="18"/>
      <c r="D194" s="22"/>
      <c r="E194" s="19"/>
      <c r="F194" s="20"/>
      <c r="G194" s="16">
        <f>IF(AND(E194="",F194=""),"",IF(OR(E194="",F194=""),"falta dato",E194*F194))</f>
      </c>
      <c r="H194" s="20"/>
      <c r="I194" s="16">
        <f>IF(G194="","",IF(ISNUMBER(G194),G194-IF(H194="",0,H194),"falta dato"))</f>
      </c>
    </row>
    <row r="195" spans="1:9" x14ac:dyDescent="0.25">
      <c r="A195" s="17"/>
      <c r="B195" s="18"/>
      <c r="C195" s="18"/>
      <c r="D195" s="22"/>
      <c r="E195" s="19"/>
      <c r="F195" s="20"/>
      <c r="G195" s="16">
        <f>IF(AND(E195="",F195=""),"",IF(OR(E195="",F195=""),"falta dato",E195*F195))</f>
      </c>
      <c r="H195" s="20"/>
      <c r="I195" s="16">
        <f>IF(G195="","",IF(ISNUMBER(G195),G195-IF(H195="",0,H195),"falta dato"))</f>
      </c>
    </row>
    <row r="196" spans="1:9" x14ac:dyDescent="0.25">
      <c r="A196" s="17"/>
      <c r="B196" s="18"/>
      <c r="C196" s="18"/>
      <c r="D196" s="22"/>
      <c r="E196" s="19"/>
      <c r="F196" s="20"/>
      <c r="G196" s="16">
        <f>IF(AND(E196="",F196=""),"",IF(OR(E196="",F196=""),"falta dato",E196*F196))</f>
      </c>
      <c r="H196" s="20"/>
      <c r="I196" s="16">
        <f>IF(G196="","",IF(ISNUMBER(G196),G196-IF(H196="",0,H196),"falta dato"))</f>
      </c>
    </row>
    <row r="197" spans="1:9" x14ac:dyDescent="0.25">
      <c r="A197" s="17"/>
      <c r="B197" s="18"/>
      <c r="C197" s="18"/>
      <c r="D197" s="22"/>
      <c r="E197" s="19"/>
      <c r="F197" s="20"/>
      <c r="G197" s="16">
        <f>IF(AND(E197="",F197=""),"",IF(OR(E197="",F197=""),"falta dato",E197*F197))</f>
      </c>
      <c r="H197" s="20"/>
      <c r="I197" s="16">
        <f>IF(G197="","",IF(ISNUMBER(G197),G197-IF(H197="",0,H197),"falta dato"))</f>
      </c>
    </row>
    <row r="198" spans="1:9" x14ac:dyDescent="0.25">
      <c r="A198" s="17"/>
      <c r="B198" s="18"/>
      <c r="C198" s="18"/>
      <c r="D198" s="22"/>
      <c r="E198" s="19"/>
      <c r="F198" s="20"/>
      <c r="G198" s="16">
        <f>IF(AND(E198="",F198=""),"",IF(OR(E198="",F198=""),"falta dato",E198*F198))</f>
      </c>
      <c r="H198" s="20"/>
      <c r="I198" s="16">
        <f>IF(G198="","",IF(ISNUMBER(G198),G198-IF(H198="",0,H198),"falta dato"))</f>
      </c>
    </row>
    <row r="199" spans="1:9" x14ac:dyDescent="0.25">
      <c r="A199" s="17"/>
      <c r="B199" s="18"/>
      <c r="C199" s="18"/>
      <c r="D199" s="22"/>
      <c r="E199" s="19"/>
      <c r="F199" s="20"/>
      <c r="G199" s="16">
        <f>IF(AND(E199="",F199=""),"",IF(OR(E199="",F199=""),"falta dato",E199*F199))</f>
      </c>
      <c r="H199" s="20"/>
      <c r="I199" s="16">
        <f>IF(G199="","",IF(ISNUMBER(G199),G199-IF(H199="",0,H199),"falta dato"))</f>
      </c>
    </row>
    <row r="200" spans="1:9" x14ac:dyDescent="0.25">
      <c r="A200" s="17"/>
      <c r="B200" s="18"/>
      <c r="C200" s="18"/>
      <c r="D200" s="22"/>
      <c r="E200" s="19"/>
      <c r="F200" s="20"/>
      <c r="G200" s="16">
        <f>IF(AND(E200="",F200=""),"",IF(OR(E200="",F200=""),"falta dato",E200*F200))</f>
      </c>
      <c r="H200" s="20"/>
      <c r="I200" s="16">
        <f>IF(G200="","",IF(ISNUMBER(G200),G200-IF(H200="",0,H200),"falta dato"))</f>
      </c>
    </row>
    <row r="201" spans="1:9" x14ac:dyDescent="0.25">
      <c r="A201" s="17"/>
      <c r="B201" s="18"/>
      <c r="C201" s="18"/>
      <c r="D201" s="22"/>
      <c r="E201" s="19"/>
      <c r="F201" s="20"/>
      <c r="G201" s="16">
        <f>IF(AND(E201="",F201=""),"",IF(OR(E201="",F201=""),"falta dato",E201*F201))</f>
      </c>
      <c r="H201" s="20"/>
      <c r="I201" s="16">
        <f>IF(G201="","",IF(ISNUMBER(G201),G201-IF(H201="",0,H201),"falta dato"))</f>
      </c>
    </row>
    <row r="202" spans="1:9" x14ac:dyDescent="0.25">
      <c r="A202" s="17"/>
      <c r="B202" s="18"/>
      <c r="C202" s="18"/>
      <c r="D202" s="22"/>
      <c r="E202" s="19"/>
      <c r="F202" s="20"/>
      <c r="G202" s="16">
        <f>IF(AND(E202="",F202=""),"",IF(OR(E202="",F202=""),"falta dato",E202*F202))</f>
      </c>
      <c r="H202" s="20"/>
      <c r="I202" s="16">
        <f>IF(G202="","",IF(ISNUMBER(G202),G202-IF(H202="",0,H202),"falta dato"))</f>
      </c>
    </row>
    <row r="203" spans="1:9" x14ac:dyDescent="0.25">
      <c r="A203" s="17"/>
      <c r="B203" s="18"/>
      <c r="C203" s="18"/>
      <c r="D203" s="22"/>
      <c r="E203" s="19"/>
      <c r="F203" s="20"/>
      <c r="G203" s="16">
        <f>IF(AND(E203="",F203=""),"",IF(OR(E203="",F203=""),"falta dato",E203*F203))</f>
      </c>
      <c r="H203" s="20"/>
      <c r="I203" s="16">
        <f>IF(G203="","",IF(ISNUMBER(G203),G203-IF(H203="",0,H203),"falta dato"))</f>
      </c>
    </row>
    <row r="204" spans="1:9" x14ac:dyDescent="0.25">
      <c r="A204" s="17"/>
      <c r="B204" s="18"/>
      <c r="C204" s="18"/>
      <c r="D204" s="22"/>
      <c r="E204" s="19"/>
      <c r="F204" s="20"/>
      <c r="G204" s="16">
        <f>IF(AND(E204="",F204=""),"",IF(OR(E204="",F204=""),"falta dato",E204*F204))</f>
      </c>
      <c r="H204" s="20"/>
      <c r="I204" s="16">
        <f>IF(G204="","",IF(ISNUMBER(G204),G204-IF(H204="",0,H204),"falta dato"))</f>
      </c>
    </row>
    <row r="205" spans="1:9" x14ac:dyDescent="0.25">
      <c r="A205" s="17"/>
      <c r="B205" s="18"/>
      <c r="C205" s="18"/>
      <c r="D205" s="22"/>
      <c r="E205" s="19"/>
      <c r="F205" s="20"/>
      <c r="G205" s="16">
        <f>IF(AND(E205="",F205=""),"",IF(OR(E205="",F205=""),"falta dato",E205*F205))</f>
      </c>
      <c r="H205" s="20"/>
      <c r="I205" s="16">
        <f>IF(G205="","",IF(ISNUMBER(G205),G205-IF(H205="",0,H205),"falta dato"))</f>
      </c>
    </row>
    <row r="206" spans="1:9" x14ac:dyDescent="0.25">
      <c r="A206" s="17"/>
      <c r="B206" s="18"/>
      <c r="C206" s="18"/>
      <c r="D206" s="22"/>
      <c r="E206" s="19"/>
      <c r="F206" s="20"/>
      <c r="G206" s="16">
        <f>IF(AND(E206="",F206=""),"",IF(OR(E206="",F206=""),"falta dato",E206*F206))</f>
      </c>
      <c r="H206" s="20"/>
      <c r="I206" s="16">
        <f>IF(G206="","",IF(ISNUMBER(G206),G206-IF(H206="",0,H206),"falta dato"))</f>
      </c>
    </row>
    <row r="207" spans="1:9" x14ac:dyDescent="0.25">
      <c r="A207" s="17"/>
      <c r="B207" s="18"/>
      <c r="C207" s="18"/>
      <c r="D207" s="22"/>
      <c r="E207" s="19"/>
      <c r="F207" s="20"/>
      <c r="G207" s="16">
        <f>IF(AND(E207="",F207=""),"",IF(OR(E207="",F207=""),"falta dato",E207*F207))</f>
      </c>
      <c r="H207" s="20"/>
      <c r="I207" s="16">
        <f>IF(G207="","",IF(ISNUMBER(G207),G207-IF(H207="",0,H207),"falta dato"))</f>
      </c>
    </row>
    <row r="208" spans="1:9" x14ac:dyDescent="0.25">
      <c r="A208" s="17"/>
      <c r="B208" s="18"/>
      <c r="C208" s="18"/>
      <c r="D208" s="22"/>
      <c r="E208" s="19"/>
      <c r="F208" s="20"/>
      <c r="G208" s="16">
        <f>IF(AND(E208="",F208=""),"",IF(OR(E208="",F208=""),"falta dato",E208*F208))</f>
      </c>
      <c r="H208" s="20"/>
      <c r="I208" s="16">
        <f>IF(G208="","",IF(ISNUMBER(G208),G208-IF(H208="",0,H208),"falta dato"))</f>
      </c>
    </row>
    <row r="209" spans="1:9" x14ac:dyDescent="0.25">
      <c r="A209" s="17"/>
      <c r="B209" s="18"/>
      <c r="C209" s="18"/>
      <c r="D209" s="22"/>
      <c r="E209" s="19"/>
      <c r="F209" s="20"/>
      <c r="G209" s="16">
        <f>IF(AND(E209="",F209=""),"",IF(OR(E209="",F209=""),"falta dato",E209*F209))</f>
      </c>
      <c r="H209" s="20"/>
      <c r="I209" s="16">
        <f>IF(G209="","",IF(ISNUMBER(G209),G209-IF(H209="",0,H209),"falta dato"))</f>
      </c>
    </row>
    <row r="210" spans="1:9" x14ac:dyDescent="0.25">
      <c r="A210" s="17"/>
      <c r="B210" s="18"/>
      <c r="C210" s="18"/>
      <c r="D210" s="22"/>
      <c r="E210" s="19"/>
      <c r="F210" s="20"/>
      <c r="G210" s="16">
        <f>IF(AND(E210="",F210=""),"",IF(OR(E210="",F210=""),"falta dato",E210*F210))</f>
      </c>
      <c r="H210" s="20"/>
      <c r="I210" s="16">
        <f>IF(G210="","",IF(ISNUMBER(G210),G210-IF(H210="",0,H210),"falta dato"))</f>
      </c>
    </row>
    <row r="211" spans="1:9" x14ac:dyDescent="0.25">
      <c r="A211" s="17"/>
      <c r="B211" s="18"/>
      <c r="C211" s="18"/>
      <c r="D211" s="22"/>
      <c r="E211" s="19"/>
      <c r="F211" s="20"/>
      <c r="G211" s="16">
        <f>IF(AND(E211="",F211=""),"",IF(OR(E211="",F211=""),"falta dato",E211*F211))</f>
      </c>
      <c r="H211" s="20"/>
      <c r="I211" s="16">
        <f>IF(G211="","",IF(ISNUMBER(G211),G211-IF(H211="",0,H211),"falta dato"))</f>
      </c>
    </row>
    <row r="212" spans="1:9" x14ac:dyDescent="0.25">
      <c r="A212" s="17"/>
      <c r="B212" s="18"/>
      <c r="C212" s="18"/>
      <c r="D212" s="22"/>
      <c r="E212" s="19"/>
      <c r="F212" s="20"/>
      <c r="G212" s="16">
        <f>IF(AND(E212="",F212=""),"",IF(OR(E212="",F212=""),"falta dato",E212*F212))</f>
      </c>
      <c r="H212" s="20"/>
      <c r="I212" s="16">
        <f>IF(G212="","",IF(ISNUMBER(G212),G212-IF(H212="",0,H212),"falta dato"))</f>
      </c>
    </row>
    <row r="213" spans="1:9" x14ac:dyDescent="0.25">
      <c r="A213" s="17"/>
      <c r="B213" s="18"/>
      <c r="C213" s="18"/>
      <c r="D213" s="22"/>
      <c r="E213" s="19"/>
      <c r="F213" s="20"/>
      <c r="G213" s="16">
        <f>IF(AND(E213="",F213=""),"",IF(OR(E213="",F213=""),"falta dato",E213*F213))</f>
      </c>
      <c r="H213" s="20"/>
      <c r="I213" s="16">
        <f>IF(G213="","",IF(ISNUMBER(G213),G213-IF(H213="",0,H213),"falta dato"))</f>
      </c>
    </row>
    <row r="214" spans="1:9" x14ac:dyDescent="0.25">
      <c r="A214" s="17"/>
      <c r="B214" s="18"/>
      <c r="C214" s="18"/>
      <c r="D214" s="22"/>
      <c r="E214" s="19"/>
      <c r="F214" s="20"/>
      <c r="G214" s="16">
        <f>IF(AND(E214="",F214=""),"",IF(OR(E214="",F214=""),"falta dato",E214*F214))</f>
      </c>
      <c r="H214" s="20"/>
      <c r="I214" s="16">
        <f>IF(G214="","",IF(ISNUMBER(G214),G214-IF(H214="",0,H214),"falta dato"))</f>
      </c>
    </row>
    <row r="215" spans="1:9" x14ac:dyDescent="0.25">
      <c r="A215" s="17"/>
      <c r="B215" s="18"/>
      <c r="C215" s="18"/>
      <c r="D215" s="22"/>
      <c r="E215" s="19"/>
      <c r="F215" s="20"/>
      <c r="G215" s="16">
        <f>IF(AND(E215="",F215=""),"",IF(OR(E215="",F215=""),"falta dato",E215*F215))</f>
      </c>
      <c r="H215" s="20"/>
      <c r="I215" s="16">
        <f>IF(G215="","",IF(ISNUMBER(G215),G215-IF(H215="",0,H215),"falta dato"))</f>
      </c>
    </row>
    <row r="216" spans="1:9" x14ac:dyDescent="0.25">
      <c r="A216" s="17"/>
      <c r="B216" s="18"/>
      <c r="C216" s="18"/>
      <c r="D216" s="22"/>
      <c r="E216" s="19"/>
      <c r="F216" s="20"/>
      <c r="G216" s="16">
        <f>IF(AND(E216="",F216=""),"",IF(OR(E216="",F216=""),"falta dato",E216*F216))</f>
      </c>
      <c r="H216" s="20"/>
      <c r="I216" s="16">
        <f>IF(G216="","",IF(ISNUMBER(G216),G216-IF(H216="",0,H216),"falta dato"))</f>
      </c>
    </row>
    <row r="217" spans="1:9" x14ac:dyDescent="0.25">
      <c r="A217" s="17"/>
      <c r="B217" s="18"/>
      <c r="C217" s="18"/>
      <c r="D217" s="22"/>
      <c r="E217" s="19"/>
      <c r="F217" s="20"/>
      <c r="G217" s="16">
        <f>IF(AND(E217="",F217=""),"",IF(OR(E217="",F217=""),"falta dato",E217*F217))</f>
      </c>
      <c r="H217" s="20"/>
      <c r="I217" s="16">
        <f>IF(G217="","",IF(ISNUMBER(G217),G217-IF(H217="",0,H217),"falta dato"))</f>
      </c>
    </row>
    <row r="218" spans="1:9" x14ac:dyDescent="0.25">
      <c r="A218" s="17"/>
      <c r="B218" s="18"/>
      <c r="C218" s="18"/>
      <c r="D218" s="22"/>
      <c r="E218" s="19"/>
      <c r="F218" s="20"/>
      <c r="G218" s="16">
        <f>IF(AND(E218="",F218=""),"",IF(OR(E218="",F218=""),"falta dato",E218*F218))</f>
      </c>
      <c r="H218" s="20"/>
      <c r="I218" s="16">
        <f>IF(G218="","",IF(ISNUMBER(G218),G218-IF(H218="",0,H218),"falta dato"))</f>
      </c>
    </row>
    <row r="219" spans="1:9" x14ac:dyDescent="0.25">
      <c r="A219" s="17"/>
      <c r="B219" s="18"/>
      <c r="C219" s="18"/>
      <c r="D219" s="22"/>
      <c r="E219" s="19"/>
      <c r="F219" s="20"/>
      <c r="G219" s="16">
        <f>IF(AND(E219="",F219=""),"",IF(OR(E219="",F219=""),"falta dato",E219*F219))</f>
      </c>
      <c r="H219" s="20"/>
      <c r="I219" s="16">
        <f>IF(G219="","",IF(ISNUMBER(G219),G219-IF(H219="",0,H219),"falta dato"))</f>
      </c>
    </row>
    <row r="220" spans="1:9" x14ac:dyDescent="0.25">
      <c r="A220" s="17"/>
      <c r="B220" s="18"/>
      <c r="C220" s="18"/>
      <c r="D220" s="22"/>
      <c r="E220" s="19"/>
      <c r="F220" s="20"/>
      <c r="G220" s="16">
        <f>IF(AND(E220="",F220=""),"",IF(OR(E220="",F220=""),"falta dato",E220*F220))</f>
      </c>
      <c r="H220" s="20"/>
      <c r="I220" s="16">
        <f>IF(G220="","",IF(ISNUMBER(G220),G220-IF(H220="",0,H220),"falta dato"))</f>
      </c>
    </row>
    <row r="221" spans="1:9" x14ac:dyDescent="0.25">
      <c r="A221" s="17"/>
      <c r="B221" s="18"/>
      <c r="C221" s="18"/>
      <c r="D221" s="22"/>
      <c r="E221" s="19"/>
      <c r="F221" s="20"/>
      <c r="G221" s="16">
        <f>IF(AND(E221="",F221=""),"",IF(OR(E221="",F221=""),"falta dato",E221*F221))</f>
      </c>
      <c r="H221" s="20"/>
      <c r="I221" s="16">
        <f>IF(G221="","",IF(ISNUMBER(G221),G221-IF(H221="",0,H221),"falta dato"))</f>
      </c>
    </row>
    <row r="222" spans="1:9" x14ac:dyDescent="0.25">
      <c r="A222" s="17"/>
      <c r="B222" s="18"/>
      <c r="C222" s="18"/>
      <c r="D222" s="22"/>
      <c r="E222" s="19"/>
      <c r="F222" s="20"/>
      <c r="G222" s="16">
        <f>IF(AND(E222="",F222=""),"",IF(OR(E222="",F222=""),"falta dato",E222*F222))</f>
      </c>
      <c r="H222" s="20"/>
      <c r="I222" s="16">
        <f>IF(G222="","",IF(ISNUMBER(G222),G222-IF(H222="",0,H222),"falta dato"))</f>
      </c>
    </row>
    <row r="223" spans="1:9" x14ac:dyDescent="0.25">
      <c r="A223" s="17"/>
      <c r="B223" s="18"/>
      <c r="C223" s="18"/>
      <c r="D223" s="22"/>
      <c r="E223" s="19"/>
      <c r="F223" s="20"/>
      <c r="G223" s="16">
        <f>IF(AND(E223="",F223=""),"",IF(OR(E223="",F223=""),"falta dato",E223*F223))</f>
      </c>
      <c r="H223" s="20"/>
      <c r="I223" s="16">
        <f>IF(G223="","",IF(ISNUMBER(G223),G223-IF(H223="",0,H223),"falta dato"))</f>
      </c>
    </row>
    <row r="224" spans="1:9" x14ac:dyDescent="0.25">
      <c r="A224" s="17"/>
      <c r="B224" s="18"/>
      <c r="C224" s="18"/>
      <c r="D224" s="22"/>
      <c r="E224" s="19"/>
      <c r="F224" s="20"/>
      <c r="G224" s="16">
        <f>IF(AND(E224="",F224=""),"",IF(OR(E224="",F224=""),"falta dato",E224*F224))</f>
      </c>
      <c r="H224" s="20"/>
      <c r="I224" s="16">
        <f>IF(G224="","",IF(ISNUMBER(G224),G224-IF(H224="",0,H224),"falta dato"))</f>
      </c>
    </row>
    <row r="225" spans="1:9" x14ac:dyDescent="0.25">
      <c r="A225" s="17"/>
      <c r="B225" s="18"/>
      <c r="C225" s="18"/>
      <c r="D225" s="22"/>
      <c r="E225" s="19"/>
      <c r="F225" s="20"/>
      <c r="G225" s="16">
        <f>IF(AND(E225="",F225=""),"",IF(OR(E225="",F225=""),"falta dato",E225*F225))</f>
      </c>
      <c r="H225" s="20"/>
      <c r="I225" s="16">
        <f>IF(G225="","",IF(ISNUMBER(G225),G225-IF(H225="",0,H225),"falta dato"))</f>
      </c>
    </row>
    <row r="226" spans="1:9" x14ac:dyDescent="0.25">
      <c r="A226" s="17"/>
      <c r="B226" s="18"/>
      <c r="C226" s="18"/>
      <c r="D226" s="22"/>
      <c r="E226" s="19"/>
      <c r="F226" s="20"/>
      <c r="G226" s="16">
        <f>IF(AND(E226="",F226=""),"",IF(OR(E226="",F226=""),"falta dato",E226*F226))</f>
      </c>
      <c r="H226" s="20"/>
      <c r="I226" s="16">
        <f>IF(G226="","",IF(ISNUMBER(G226),G226-IF(H226="",0,H226),"falta dato"))</f>
      </c>
    </row>
    <row r="227" spans="1:9" x14ac:dyDescent="0.25">
      <c r="A227" s="17"/>
      <c r="B227" s="18"/>
      <c r="C227" s="18"/>
      <c r="D227" s="22"/>
      <c r="E227" s="19"/>
      <c r="F227" s="20"/>
      <c r="G227" s="16">
        <f>IF(AND(E227="",F227=""),"",IF(OR(E227="",F227=""),"falta dato",E227*F227))</f>
      </c>
      <c r="H227" s="20"/>
      <c r="I227" s="16">
        <f>IF(G227="","",IF(ISNUMBER(G227),G227-IF(H227="",0,H227),"falta dato"))</f>
      </c>
    </row>
    <row r="228" spans="1:9" x14ac:dyDescent="0.25">
      <c r="A228" s="17"/>
      <c r="B228" s="18"/>
      <c r="C228" s="18"/>
      <c r="D228" s="22"/>
      <c r="E228" s="19"/>
      <c r="F228" s="20"/>
      <c r="G228" s="16">
        <f>IF(AND(E228="",F228=""),"",IF(OR(E228="",F228=""),"falta dato",E228*F228))</f>
      </c>
      <c r="H228" s="20"/>
      <c r="I228" s="16">
        <f>IF(G228="","",IF(ISNUMBER(G228),G228-IF(H228="",0,H228),"falta dato"))</f>
      </c>
    </row>
    <row r="229" spans="1:9" x14ac:dyDescent="0.25">
      <c r="A229" s="17"/>
      <c r="B229" s="18"/>
      <c r="C229" s="18"/>
      <c r="D229" s="22"/>
      <c r="E229" s="19"/>
      <c r="F229" s="20"/>
      <c r="G229" s="16">
        <f>IF(AND(E229="",F229=""),"",IF(OR(E229="",F229=""),"falta dato",E229*F229))</f>
      </c>
      <c r="H229" s="20"/>
      <c r="I229" s="16">
        <f>IF(G229="","",IF(ISNUMBER(G229),G229-IF(H229="",0,H229),"falta dato"))</f>
      </c>
    </row>
    <row r="230" spans="1:9" x14ac:dyDescent="0.25">
      <c r="A230" s="17"/>
      <c r="B230" s="18"/>
      <c r="C230" s="18"/>
      <c r="D230" s="22"/>
      <c r="E230" s="19"/>
      <c r="F230" s="20"/>
      <c r="G230" s="16">
        <f>IF(AND(E230="",F230=""),"",IF(OR(E230="",F230=""),"falta dato",E230*F230))</f>
      </c>
      <c r="H230" s="20"/>
      <c r="I230" s="16">
        <f>IF(G230="","",IF(ISNUMBER(G230),G230-IF(H230="",0,H230),"falta dato"))</f>
      </c>
    </row>
    <row r="231" spans="1:9" x14ac:dyDescent="0.25">
      <c r="A231" s="17"/>
      <c r="B231" s="18"/>
      <c r="C231" s="18"/>
      <c r="D231" s="22"/>
      <c r="E231" s="19"/>
      <c r="F231" s="20"/>
      <c r="G231" s="16">
        <f>IF(AND(E231="",F231=""),"",IF(OR(E231="",F231=""),"falta dato",E231*F231))</f>
      </c>
      <c r="H231" s="20"/>
      <c r="I231" s="16">
        <f>IF(G231="","",IF(ISNUMBER(G231),G231-IF(H231="",0,H231),"falta dato"))</f>
      </c>
    </row>
    <row r="232" spans="1:9" x14ac:dyDescent="0.25">
      <c r="A232" s="17"/>
      <c r="B232" s="18"/>
      <c r="C232" s="18"/>
      <c r="D232" s="22"/>
      <c r="E232" s="19"/>
      <c r="F232" s="20"/>
      <c r="G232" s="16">
        <f>IF(AND(E232="",F232=""),"",IF(OR(E232="",F232=""),"falta dato",E232*F232))</f>
      </c>
      <c r="H232" s="20"/>
      <c r="I232" s="16">
        <f>IF(G232="","",IF(ISNUMBER(G232),G232-IF(H232="",0,H232),"falta dato"))</f>
      </c>
    </row>
    <row r="233" spans="1:9" x14ac:dyDescent="0.25">
      <c r="A233" s="17"/>
      <c r="B233" s="18"/>
      <c r="C233" s="18"/>
      <c r="D233" s="22"/>
      <c r="E233" s="19"/>
      <c r="F233" s="20"/>
      <c r="G233" s="16">
        <f>IF(AND(E233="",F233=""),"",IF(OR(E233="",F233=""),"falta dato",E233*F233))</f>
      </c>
      <c r="H233" s="20"/>
      <c r="I233" s="16">
        <f>IF(G233="","",IF(ISNUMBER(G233),G233-IF(H233="",0,H233),"falta dato"))</f>
      </c>
    </row>
    <row r="234" spans="1:9" x14ac:dyDescent="0.25">
      <c r="A234" s="17"/>
      <c r="B234" s="18"/>
      <c r="C234" s="18"/>
      <c r="D234" s="22"/>
      <c r="E234" s="19"/>
      <c r="F234" s="20"/>
      <c r="G234" s="16">
        <f>IF(AND(E234="",F234=""),"",IF(OR(E234="",F234=""),"falta dato",E234*F234))</f>
      </c>
      <c r="H234" s="20"/>
      <c r="I234" s="16">
        <f>IF(G234="","",IF(ISNUMBER(G234),G234-IF(H234="",0,H234),"falta dato"))</f>
      </c>
    </row>
    <row r="235" spans="1:9" x14ac:dyDescent="0.25">
      <c r="A235" s="17"/>
      <c r="B235" s="18"/>
      <c r="C235" s="18"/>
      <c r="D235" s="22"/>
      <c r="E235" s="19"/>
      <c r="F235" s="20"/>
      <c r="G235" s="16">
        <f>IF(AND(E235="",F235=""),"",IF(OR(E235="",F235=""),"falta dato",E235*F235))</f>
      </c>
      <c r="H235" s="20"/>
      <c r="I235" s="16">
        <f>IF(G235="","",IF(ISNUMBER(G235),G235-IF(H235="",0,H235),"falta dato"))</f>
      </c>
    </row>
    <row r="236" spans="1:9" x14ac:dyDescent="0.25">
      <c r="A236" s="17"/>
      <c r="B236" s="18"/>
      <c r="C236" s="18"/>
      <c r="D236" s="22"/>
      <c r="E236" s="19"/>
      <c r="F236" s="20"/>
      <c r="G236" s="16">
        <f>IF(AND(E236="",F236=""),"",IF(OR(E236="",F236=""),"falta dato",E236*F236))</f>
      </c>
      <c r="H236" s="20"/>
      <c r="I236" s="16">
        <f>IF(G236="","",IF(ISNUMBER(G236),G236-IF(H236="",0,H236),"falta dato"))</f>
      </c>
    </row>
    <row r="237" spans="1:9" x14ac:dyDescent="0.25">
      <c r="A237" s="17"/>
      <c r="B237" s="18"/>
      <c r="C237" s="18"/>
      <c r="D237" s="22"/>
      <c r="E237" s="19"/>
      <c r="F237" s="20"/>
      <c r="G237" s="16">
        <f>IF(AND(E237="",F237=""),"",IF(OR(E237="",F237=""),"falta dato",E237*F237))</f>
      </c>
      <c r="H237" s="20"/>
      <c r="I237" s="16">
        <f>IF(G237="","",IF(ISNUMBER(G237),G237-IF(H237="",0,H237),"falta dato"))</f>
      </c>
    </row>
    <row r="238" spans="1:9" x14ac:dyDescent="0.25">
      <c r="A238" s="17"/>
      <c r="B238" s="18"/>
      <c r="C238" s="18"/>
      <c r="D238" s="22"/>
      <c r="E238" s="19"/>
      <c r="F238" s="20"/>
      <c r="G238" s="16">
        <f>IF(AND(E238="",F238=""),"",IF(OR(E238="",F238=""),"falta dato",E238*F238))</f>
      </c>
      <c r="H238" s="20"/>
      <c r="I238" s="16">
        <f>IF(G238="","",IF(ISNUMBER(G238),G238-IF(H238="",0,H238),"falta dato"))</f>
      </c>
    </row>
    <row r="239" spans="1:9" x14ac:dyDescent="0.25">
      <c r="A239" s="17"/>
      <c r="B239" s="18"/>
      <c r="C239" s="18"/>
      <c r="D239" s="22"/>
      <c r="E239" s="19"/>
      <c r="F239" s="20"/>
      <c r="G239" s="16">
        <f>IF(AND(E239="",F239=""),"",IF(OR(E239="",F239=""),"falta dato",E239*F239))</f>
      </c>
      <c r="H239" s="20"/>
      <c r="I239" s="16">
        <f>IF(G239="","",IF(ISNUMBER(G239),G239-IF(H239="",0,H239),"falta dato"))</f>
      </c>
    </row>
    <row r="240" spans="1:9" x14ac:dyDescent="0.25">
      <c r="A240" s="17"/>
      <c r="B240" s="18"/>
      <c r="C240" s="18"/>
      <c r="D240" s="22"/>
      <c r="E240" s="19"/>
      <c r="F240" s="20"/>
      <c r="G240" s="16">
        <f>IF(AND(E240="",F240=""),"",IF(OR(E240="",F240=""),"falta dato",E240*F240))</f>
      </c>
      <c r="H240" s="20"/>
      <c r="I240" s="16">
        <f>IF(G240="","",IF(ISNUMBER(G240),G240-IF(H240="",0,H240),"falta dato"))</f>
      </c>
    </row>
    <row r="241" spans="1:9" x14ac:dyDescent="0.25">
      <c r="A241" s="17"/>
      <c r="B241" s="18"/>
      <c r="C241" s="18"/>
      <c r="D241" s="22"/>
      <c r="E241" s="19"/>
      <c r="F241" s="20"/>
      <c r="G241" s="16">
        <f>IF(AND(E241="",F241=""),"",IF(OR(E241="",F241=""),"falta dato",E241*F241))</f>
      </c>
      <c r="H241" s="20"/>
      <c r="I241" s="16">
        <f>IF(G241="","",IF(ISNUMBER(G241),G241-IF(H241="",0,H241),"falta dato"))</f>
      </c>
    </row>
    <row r="242" spans="1:9" x14ac:dyDescent="0.25">
      <c r="A242" s="17"/>
      <c r="B242" s="18"/>
      <c r="C242" s="18"/>
      <c r="D242" s="22"/>
      <c r="E242" s="19"/>
      <c r="F242" s="20"/>
      <c r="G242" s="16">
        <f>IF(AND(E242="",F242=""),"",IF(OR(E242="",F242=""),"falta dato",E242*F242))</f>
      </c>
      <c r="H242" s="20"/>
      <c r="I242" s="16">
        <f>IF(G242="","",IF(ISNUMBER(G242),G242-IF(H242="",0,H242),"falta dato"))</f>
      </c>
    </row>
    <row r="243" spans="1:9" x14ac:dyDescent="0.25">
      <c r="A243" s="17"/>
      <c r="B243" s="18"/>
      <c r="C243" s="18"/>
      <c r="D243" s="22"/>
      <c r="E243" s="19"/>
      <c r="F243" s="20"/>
      <c r="G243" s="16">
        <f>IF(AND(E243="",F243=""),"",IF(OR(E243="",F243=""),"falta dato",E243*F243))</f>
      </c>
      <c r="H243" s="20"/>
      <c r="I243" s="16">
        <f>IF(G243="","",IF(ISNUMBER(G243),G243-IF(H243="",0,H243),"falta dato"))</f>
      </c>
    </row>
    <row r="244" spans="1:9" x14ac:dyDescent="0.25">
      <c r="A244" s="17"/>
      <c r="B244" s="18"/>
      <c r="C244" s="18"/>
      <c r="D244" s="22"/>
      <c r="E244" s="19"/>
      <c r="F244" s="20"/>
      <c r="G244" s="16">
        <f>IF(AND(E244="",F244=""),"",IF(OR(E244="",F244=""),"falta dato",E244*F244))</f>
      </c>
      <c r="H244" s="20"/>
      <c r="I244" s="16">
        <f>IF(G244="","",IF(ISNUMBER(G244),G244-IF(H244="",0,H244),"falta dato"))</f>
      </c>
    </row>
    <row r="245" spans="1:9" x14ac:dyDescent="0.25">
      <c r="A245" s="17"/>
      <c r="B245" s="18"/>
      <c r="C245" s="18"/>
      <c r="D245" s="22"/>
      <c r="E245" s="19"/>
      <c r="F245" s="20"/>
      <c r="G245" s="16">
        <f>IF(AND(E245="",F245=""),"",IF(OR(E245="",F245=""),"falta dato",E245*F245))</f>
      </c>
      <c r="H245" s="20"/>
      <c r="I245" s="16">
        <f>IF(G245="","",IF(ISNUMBER(G245),G245-IF(H245="",0,H245),"falta dato"))</f>
      </c>
    </row>
    <row r="246" spans="1:9" x14ac:dyDescent="0.25">
      <c r="A246" s="17"/>
      <c r="B246" s="18"/>
      <c r="C246" s="18"/>
      <c r="D246" s="22"/>
      <c r="E246" s="19"/>
      <c r="F246" s="20"/>
      <c r="G246" s="16">
        <f>IF(AND(E246="",F246=""),"",IF(OR(E246="",F246=""),"falta dato",E246*F246))</f>
      </c>
      <c r="H246" s="20"/>
      <c r="I246" s="16">
        <f>IF(G246="","",IF(ISNUMBER(G246),G246-IF(H246="",0,H246),"falta dato"))</f>
      </c>
    </row>
    <row r="247" spans="1:9" x14ac:dyDescent="0.25">
      <c r="A247" s="17"/>
      <c r="B247" s="18"/>
      <c r="C247" s="18"/>
      <c r="D247" s="22"/>
      <c r="E247" s="19"/>
      <c r="F247" s="20"/>
      <c r="G247" s="16">
        <f>IF(AND(E247="",F247=""),"",IF(OR(E247="",F247=""),"falta dato",E247*F247))</f>
      </c>
      <c r="H247" s="20"/>
      <c r="I247" s="16">
        <f>IF(G247="","",IF(ISNUMBER(G247),G247-IF(H247="",0,H247),"falta dato"))</f>
      </c>
    </row>
    <row r="248" spans="1:9" x14ac:dyDescent="0.25">
      <c r="A248" s="17"/>
      <c r="B248" s="18"/>
      <c r="C248" s="18"/>
      <c r="D248" s="22"/>
      <c r="E248" s="19"/>
      <c r="F248" s="20"/>
      <c r="G248" s="16">
        <f>IF(AND(E248="",F248=""),"",IF(OR(E248="",F248=""),"falta dato",E248*F248))</f>
      </c>
      <c r="H248" s="20"/>
      <c r="I248" s="16">
        <f>IF(G248="","",IF(ISNUMBER(G248),G248-IF(H248="",0,H248),"falta dato"))</f>
      </c>
    </row>
    <row r="249" spans="1:9" x14ac:dyDescent="0.25">
      <c r="A249" s="17"/>
      <c r="B249" s="18"/>
      <c r="C249" s="18"/>
      <c r="D249" s="22"/>
      <c r="E249" s="19"/>
      <c r="F249" s="20"/>
      <c r="G249" s="16">
        <f>IF(AND(E249="",F249=""),"",IF(OR(E249="",F249=""),"falta dato",E249*F249))</f>
      </c>
      <c r="H249" s="20"/>
      <c r="I249" s="16">
        <f>IF(G249="","",IF(ISNUMBER(G249),G249-IF(H249="",0,H249),"falta dato"))</f>
      </c>
    </row>
    <row r="250" spans="1:9" x14ac:dyDescent="0.25">
      <c r="A250" s="17"/>
      <c r="B250" s="18"/>
      <c r="C250" s="18"/>
      <c r="D250" s="22"/>
      <c r="E250" s="19"/>
      <c r="F250" s="20"/>
      <c r="G250" s="16">
        <f>IF(AND(E250="",F250=""),"",IF(OR(E250="",F250=""),"falta dato",E250*F250))</f>
      </c>
      <c r="H250" s="20"/>
      <c r="I250" s="16">
        <f>IF(G250="","",IF(ISNUMBER(G250),G250-IF(H250="",0,H250),"falta dato"))</f>
      </c>
    </row>
    <row r="251" spans="1:9" x14ac:dyDescent="0.25">
      <c r="A251" s="17"/>
      <c r="B251" s="18"/>
      <c r="C251" s="18"/>
      <c r="D251" s="22"/>
      <c r="E251" s="19"/>
      <c r="F251" s="20"/>
      <c r="G251" s="16">
        <f>IF(AND(E251="",F251=""),"",IF(OR(E251="",F251=""),"falta dato",E251*F251))</f>
      </c>
      <c r="H251" s="20"/>
      <c r="I251" s="16">
        <f>IF(G251="","",IF(ISNUMBER(G251),G251-IF(H251="",0,H251),"falta dato"))</f>
      </c>
    </row>
    <row r="252" spans="1:9" x14ac:dyDescent="0.25">
      <c r="A252" s="17"/>
      <c r="B252" s="18"/>
      <c r="C252" s="18"/>
      <c r="D252" s="22"/>
      <c r="E252" s="19"/>
      <c r="F252" s="20"/>
      <c r="G252" s="16">
        <f>IF(AND(E252="",F252=""),"",IF(OR(E252="",F252=""),"falta dato",E252*F252))</f>
      </c>
      <c r="H252" s="20"/>
      <c r="I252" s="16">
        <f>IF(G252="","",IF(ISNUMBER(G252),G252-IF(H252="",0,H252),"falta dato"))</f>
      </c>
    </row>
    <row r="253" spans="1:9" x14ac:dyDescent="0.25">
      <c r="A253" s="17"/>
      <c r="B253" s="18"/>
      <c r="C253" s="18"/>
      <c r="D253" s="22"/>
      <c r="E253" s="19"/>
      <c r="F253" s="20"/>
      <c r="G253" s="16">
        <f>IF(AND(E253="",F253=""),"",IF(OR(E253="",F253=""),"falta dato",E253*F253))</f>
      </c>
      <c r="H253" s="20"/>
      <c r="I253" s="16">
        <f>IF(G253="","",IF(ISNUMBER(G253),G253-IF(H253="",0,H253),"falta dato"))</f>
      </c>
    </row>
    <row r="254" spans="1:9" x14ac:dyDescent="0.25">
      <c r="A254" s="17"/>
      <c r="B254" s="18"/>
      <c r="C254" s="18"/>
      <c r="D254" s="22"/>
      <c r="E254" s="19"/>
      <c r="F254" s="20"/>
      <c r="G254" s="16">
        <f>IF(AND(E254="",F254=""),"",IF(OR(E254="",F254=""),"falta dato",E254*F254))</f>
      </c>
      <c r="H254" s="20"/>
      <c r="I254" s="16">
        <f>IF(G254="","",IF(ISNUMBER(G254),G254-IF(H254="",0,H254),"falta dato"))</f>
      </c>
    </row>
    <row r="255" spans="1:9" x14ac:dyDescent="0.25">
      <c r="A255" s="17"/>
      <c r="B255" s="18"/>
      <c r="C255" s="18"/>
      <c r="D255" s="22"/>
      <c r="E255" s="19"/>
      <c r="F255" s="20"/>
      <c r="G255" s="16">
        <f>IF(AND(E255="",F255=""),"",IF(OR(E255="",F255=""),"falta dato",E255*F255))</f>
      </c>
      <c r="H255" s="20"/>
      <c r="I255" s="16">
        <f>IF(G255="","",IF(ISNUMBER(G255),G255-IF(H255="",0,H255),"falta dato"))</f>
      </c>
    </row>
    <row r="256" spans="1:9" x14ac:dyDescent="0.25">
      <c r="A256" s="17"/>
      <c r="B256" s="18"/>
      <c r="C256" s="18"/>
      <c r="D256" s="22"/>
      <c r="E256" s="19"/>
      <c r="F256" s="20"/>
      <c r="G256" s="16">
        <f>IF(AND(E256="",F256=""),"",IF(OR(E256="",F256=""),"falta dato",E256*F256))</f>
      </c>
      <c r="H256" s="20"/>
      <c r="I256" s="16">
        <f>IF(G256="","",IF(ISNUMBER(G256),G256-IF(H256="",0,H256),"falta dato"))</f>
      </c>
    </row>
    <row r="257" spans="1:9" x14ac:dyDescent="0.25">
      <c r="A257" s="17"/>
      <c r="B257" s="18"/>
      <c r="C257" s="18"/>
      <c r="D257" s="22"/>
      <c r="E257" s="19"/>
      <c r="F257" s="20"/>
      <c r="G257" s="16">
        <f>IF(AND(E257="",F257=""),"",IF(OR(E257="",F257=""),"falta dato",E257*F257))</f>
      </c>
      <c r="H257" s="20"/>
      <c r="I257" s="16">
        <f>IF(G257="","",IF(ISNUMBER(G257),G257-IF(H257="",0,H257),"falta dato"))</f>
      </c>
    </row>
    <row r="258" spans="1:9" x14ac:dyDescent="0.25">
      <c r="A258" s="17"/>
      <c r="B258" s="18"/>
      <c r="C258" s="18"/>
      <c r="D258" s="22"/>
      <c r="E258" s="19"/>
      <c r="F258" s="20"/>
      <c r="G258" s="16">
        <f>IF(AND(E258="",F258=""),"",IF(OR(E258="",F258=""),"falta dato",E258*F258))</f>
      </c>
      <c r="H258" s="20"/>
      <c r="I258" s="16">
        <f>IF(G258="","",IF(ISNUMBER(G258),G258-IF(H258="",0,H258),"falta dato"))</f>
      </c>
    </row>
    <row r="259" spans="1:9" x14ac:dyDescent="0.25">
      <c r="A259" s="17"/>
      <c r="B259" s="18"/>
      <c r="C259" s="18"/>
      <c r="D259" s="22"/>
      <c r="E259" s="19"/>
      <c r="F259" s="20"/>
      <c r="G259" s="16">
        <f>IF(AND(E259="",F259=""),"",IF(OR(E259="",F259=""),"falta dato",E259*F259))</f>
      </c>
      <c r="H259" s="20"/>
      <c r="I259" s="16">
        <f>IF(G259="","",IF(ISNUMBER(G259),G259-IF(H259="",0,H259),"falta dato"))</f>
      </c>
    </row>
    <row r="260" spans="1:9" x14ac:dyDescent="0.25">
      <c r="A260" s="17"/>
      <c r="B260" s="18"/>
      <c r="C260" s="18"/>
      <c r="D260" s="22"/>
      <c r="E260" s="19"/>
      <c r="F260" s="20"/>
      <c r="G260" s="16">
        <f>IF(AND(E260="",F260=""),"",IF(OR(E260="",F260=""),"falta dato",E260*F260))</f>
      </c>
      <c r="H260" s="20"/>
      <c r="I260" s="16">
        <f>IF(G260="","",IF(ISNUMBER(G260),G260-IF(H260="",0,H260),"falta dato"))</f>
      </c>
    </row>
    <row r="261" spans="1:9" x14ac:dyDescent="0.25">
      <c r="A261" s="17"/>
      <c r="B261" s="18"/>
      <c r="C261" s="18"/>
      <c r="D261" s="22"/>
      <c r="E261" s="19"/>
      <c r="F261" s="20"/>
      <c r="G261" s="16">
        <f>IF(AND(E261="",F261=""),"",IF(OR(E261="",F261=""),"falta dato",E261*F261))</f>
      </c>
      <c r="H261" s="20"/>
      <c r="I261" s="16">
        <f>IF(G261="","",IF(ISNUMBER(G261),G261-IF(H261="",0,H261),"falta dato"))</f>
      </c>
    </row>
    <row r="262" spans="1:9" x14ac:dyDescent="0.25">
      <c r="A262" s="17"/>
      <c r="B262" s="18"/>
      <c r="C262" s="18"/>
      <c r="D262" s="22"/>
      <c r="E262" s="19"/>
      <c r="F262" s="20"/>
      <c r="G262" s="16">
        <f>IF(AND(E262="",F262=""),"",IF(OR(E262="",F262=""),"falta dato",E262*F262))</f>
      </c>
      <c r="H262" s="20"/>
      <c r="I262" s="16">
        <f>IF(G262="","",IF(ISNUMBER(G262),G262-IF(H262="",0,H262),"falta dato"))</f>
      </c>
    </row>
    <row r="263" spans="1:9" x14ac:dyDescent="0.25">
      <c r="A263" s="17"/>
      <c r="B263" s="18"/>
      <c r="C263" s="18"/>
      <c r="D263" s="22"/>
      <c r="E263" s="19"/>
      <c r="F263" s="20"/>
      <c r="G263" s="16">
        <f>IF(AND(E263="",F263=""),"",IF(OR(E263="",F263=""),"falta dato",E263*F263))</f>
      </c>
      <c r="H263" s="20"/>
      <c r="I263" s="16">
        <f>IF(G263="","",IF(ISNUMBER(G263),G263-IF(H263="",0,H263),"falta dato"))</f>
      </c>
    </row>
    <row r="264" spans="1:9" x14ac:dyDescent="0.25">
      <c r="A264" s="17"/>
      <c r="B264" s="18"/>
      <c r="C264" s="18"/>
      <c r="D264" s="22"/>
      <c r="E264" s="19"/>
      <c r="F264" s="20"/>
      <c r="G264" s="16">
        <f>IF(AND(E264="",F264=""),"",IF(OR(E264="",F264=""),"falta dato",E264*F264))</f>
      </c>
      <c r="H264" s="20"/>
      <c r="I264" s="16">
        <f>IF(G264="","",IF(ISNUMBER(G264),G264-IF(H264="",0,H264),"falta dato"))</f>
      </c>
    </row>
    <row r="265" spans="1:9" x14ac:dyDescent="0.25">
      <c r="A265" s="17"/>
      <c r="B265" s="18"/>
      <c r="C265" s="18"/>
      <c r="D265" s="22"/>
      <c r="E265" s="19"/>
      <c r="F265" s="20"/>
      <c r="G265" s="16">
        <f>IF(AND(E265="",F265=""),"",IF(OR(E265="",F265=""),"falta dato",E265*F265))</f>
      </c>
      <c r="H265" s="20"/>
      <c r="I265" s="16">
        <f>IF(G265="","",IF(ISNUMBER(G265),G265-IF(H265="",0,H265),"falta dato"))</f>
      </c>
    </row>
    <row r="266" spans="1:9" x14ac:dyDescent="0.25">
      <c r="A266" s="17"/>
      <c r="B266" s="18"/>
      <c r="C266" s="18"/>
      <c r="D266" s="22"/>
      <c r="E266" s="19"/>
      <c r="F266" s="20"/>
      <c r="G266" s="16">
        <f>IF(AND(E266="",F266=""),"",IF(OR(E266="",F266=""),"falta dato",E266*F266))</f>
      </c>
      <c r="H266" s="20"/>
      <c r="I266" s="16">
        <f>IF(G266="","",IF(ISNUMBER(G266),G266-IF(H266="",0,H266),"falta dato"))</f>
      </c>
    </row>
    <row r="267" spans="1:9" x14ac:dyDescent="0.25">
      <c r="A267" s="17"/>
      <c r="B267" s="18"/>
      <c r="C267" s="18"/>
      <c r="D267" s="22"/>
      <c r="E267" s="19"/>
      <c r="F267" s="20"/>
      <c r="G267" s="16">
        <f>IF(AND(E267="",F267=""),"",IF(OR(E267="",F267=""),"falta dato",E267*F267))</f>
      </c>
      <c r="H267" s="20"/>
      <c r="I267" s="16">
        <f>IF(G267="","",IF(ISNUMBER(G267),G267-IF(H267="",0,H267),"falta dato"))</f>
      </c>
    </row>
    <row r="268" spans="1:9" x14ac:dyDescent="0.25">
      <c r="A268" s="17"/>
      <c r="B268" s="18"/>
      <c r="C268" s="18"/>
      <c r="D268" s="22"/>
      <c r="E268" s="19"/>
      <c r="F268" s="20"/>
      <c r="G268" s="16">
        <f>IF(AND(E268="",F268=""),"",IF(OR(E268="",F268=""),"falta dato",E268*F268))</f>
      </c>
      <c r="H268" s="20"/>
      <c r="I268" s="16">
        <f>IF(G268="","",IF(ISNUMBER(G268),G268-IF(H268="",0,H268),"falta dato"))</f>
      </c>
    </row>
    <row r="269" spans="1:9" x14ac:dyDescent="0.25">
      <c r="A269" s="17"/>
      <c r="B269" s="18"/>
      <c r="C269" s="18"/>
      <c r="D269" s="22"/>
      <c r="E269" s="19"/>
      <c r="F269" s="20"/>
      <c r="G269" s="16">
        <f>IF(AND(E269="",F269=""),"",IF(OR(E269="",F269=""),"falta dato",E269*F269))</f>
      </c>
      <c r="H269" s="20"/>
      <c r="I269" s="16">
        <f>IF(G269="","",IF(ISNUMBER(G269),G269-IF(H269="",0,H269),"falta dato"))</f>
      </c>
    </row>
    <row r="270" spans="1:9" x14ac:dyDescent="0.25">
      <c r="A270" s="17"/>
      <c r="B270" s="18"/>
      <c r="C270" s="18"/>
      <c r="D270" s="22"/>
      <c r="E270" s="19"/>
      <c r="F270" s="20"/>
      <c r="G270" s="16">
        <f>IF(AND(E270="",F270=""),"",IF(OR(E270="",F270=""),"falta dato",E270*F270))</f>
      </c>
      <c r="H270" s="20"/>
      <c r="I270" s="16">
        <f>IF(G270="","",IF(ISNUMBER(G270),G270-IF(H270="",0,H270),"falta dato"))</f>
      </c>
    </row>
    <row r="271" spans="1:9" x14ac:dyDescent="0.25">
      <c r="A271" s="17"/>
      <c r="B271" s="18"/>
      <c r="C271" s="18"/>
      <c r="D271" s="22"/>
      <c r="E271" s="19"/>
      <c r="F271" s="20"/>
      <c r="G271" s="16">
        <f>IF(AND(E271="",F271=""),"",IF(OR(E271="",F271=""),"falta dato",E271*F271))</f>
      </c>
      <c r="H271" s="20"/>
      <c r="I271" s="16">
        <f>IF(G271="","",IF(ISNUMBER(G271),G271-IF(H271="",0,H271),"falta dato"))</f>
      </c>
    </row>
    <row r="272" spans="1:9" x14ac:dyDescent="0.25">
      <c r="A272" s="17"/>
      <c r="B272" s="18"/>
      <c r="C272" s="18"/>
      <c r="D272" s="22"/>
      <c r="E272" s="19"/>
      <c r="F272" s="20"/>
      <c r="G272" s="16">
        <f>IF(AND(E272="",F272=""),"",IF(OR(E272="",F272=""),"falta dato",E272*F272))</f>
      </c>
      <c r="H272" s="20"/>
      <c r="I272" s="16">
        <f>IF(G272="","",IF(ISNUMBER(G272),G272-IF(H272="",0,H272),"falta dato"))</f>
      </c>
    </row>
    <row r="273" spans="1:9" x14ac:dyDescent="0.25">
      <c r="A273" s="17"/>
      <c r="B273" s="18"/>
      <c r="C273" s="18"/>
      <c r="D273" s="22"/>
      <c r="E273" s="19"/>
      <c r="F273" s="20"/>
      <c r="G273" s="16">
        <f>IF(AND(E273="",F273=""),"",IF(OR(E273="",F273=""),"falta dato",E273*F273))</f>
      </c>
      <c r="H273" s="20"/>
      <c r="I273" s="16">
        <f>IF(G273="","",IF(ISNUMBER(G273),G273-IF(H273="",0,H273),"falta dato"))</f>
      </c>
    </row>
    <row r="274" spans="1:9" x14ac:dyDescent="0.25">
      <c r="A274" s="17"/>
      <c r="B274" s="18"/>
      <c r="C274" s="18"/>
      <c r="D274" s="22"/>
      <c r="E274" s="19"/>
      <c r="F274" s="20"/>
      <c r="G274" s="16">
        <f>IF(AND(E274="",F274=""),"",IF(OR(E274="",F274=""),"falta dato",E274*F274))</f>
      </c>
      <c r="H274" s="20"/>
      <c r="I274" s="16">
        <f>IF(G274="","",IF(ISNUMBER(G274),G274-IF(H274="",0,H274),"falta dato"))</f>
      </c>
    </row>
    <row r="275" spans="1:9" x14ac:dyDescent="0.25">
      <c r="A275" s="17"/>
      <c r="B275" s="18"/>
      <c r="C275" s="18"/>
      <c r="D275" s="22"/>
      <c r="E275" s="19"/>
      <c r="F275" s="20"/>
      <c r="G275" s="16">
        <f>IF(AND(E275="",F275=""),"",IF(OR(E275="",F275=""),"falta dato",E275*F275))</f>
      </c>
      <c r="H275" s="20"/>
      <c r="I275" s="16">
        <f>IF(G275="","",IF(ISNUMBER(G275),G275-IF(H275="",0,H275),"falta dato"))</f>
      </c>
    </row>
    <row r="276" spans="1:9" x14ac:dyDescent="0.25">
      <c r="A276" s="17"/>
      <c r="B276" s="18"/>
      <c r="C276" s="18"/>
      <c r="D276" s="22"/>
      <c r="E276" s="19"/>
      <c r="F276" s="20"/>
      <c r="G276" s="16">
        <f>IF(AND(E276="",F276=""),"",IF(OR(E276="",F276=""),"falta dato",E276*F276))</f>
      </c>
      <c r="H276" s="20"/>
      <c r="I276" s="16">
        <f>IF(G276="","",IF(ISNUMBER(G276),G276-IF(H276="",0,H276),"falta dato"))</f>
      </c>
    </row>
    <row r="277" spans="1:9" x14ac:dyDescent="0.25">
      <c r="A277" s="17"/>
      <c r="B277" s="18"/>
      <c r="C277" s="18"/>
      <c r="D277" s="22"/>
      <c r="E277" s="19"/>
      <c r="F277" s="20"/>
      <c r="G277" s="16">
        <f>IF(AND(E277="",F277=""),"",IF(OR(E277="",F277=""),"falta dato",E277*F277))</f>
      </c>
      <c r="H277" s="20"/>
      <c r="I277" s="16">
        <f>IF(G277="","",IF(ISNUMBER(G277),G277-IF(H277="",0,H277),"falta dato"))</f>
      </c>
    </row>
    <row r="278" spans="1:9" x14ac:dyDescent="0.25">
      <c r="A278" s="17"/>
      <c r="B278" s="18"/>
      <c r="C278" s="18"/>
      <c r="D278" s="22"/>
      <c r="E278" s="19"/>
      <c r="F278" s="20"/>
      <c r="G278" s="16">
        <f>IF(AND(E278="",F278=""),"",IF(OR(E278="",F278=""),"falta dato",E278*F278))</f>
      </c>
      <c r="H278" s="20"/>
      <c r="I278" s="16">
        <f>IF(G278="","",IF(ISNUMBER(G278),G278-IF(H278="",0,H278),"falta dato"))</f>
      </c>
    </row>
    <row r="279" spans="1:9" x14ac:dyDescent="0.25">
      <c r="A279" s="17"/>
      <c r="B279" s="18"/>
      <c r="C279" s="18"/>
      <c r="D279" s="22"/>
      <c r="E279" s="19"/>
      <c r="F279" s="20"/>
      <c r="G279" s="16">
        <f>IF(AND(E279="",F279=""),"",IF(OR(E279="",F279=""),"falta dato",E279*F279))</f>
      </c>
      <c r="H279" s="20"/>
      <c r="I279" s="16">
        <f>IF(G279="","",IF(ISNUMBER(G279),G279-IF(H279="",0,H279),"falta dato"))</f>
      </c>
    </row>
    <row r="280" spans="1:9" x14ac:dyDescent="0.25">
      <c r="A280" s="17"/>
      <c r="B280" s="18"/>
      <c r="C280" s="18"/>
      <c r="D280" s="22"/>
      <c r="E280" s="19"/>
      <c r="F280" s="20"/>
      <c r="G280" s="16">
        <f>IF(AND(E280="",F280=""),"",IF(OR(E280="",F280=""),"falta dato",E280*F280))</f>
      </c>
      <c r="H280" s="20"/>
      <c r="I280" s="16">
        <f>IF(G280="","",IF(ISNUMBER(G280),G280-IF(H280="",0,H280),"falta dato"))</f>
      </c>
    </row>
    <row r="281" spans="1:9" x14ac:dyDescent="0.25">
      <c r="A281" s="17"/>
      <c r="B281" s="18"/>
      <c r="C281" s="18"/>
      <c r="D281" s="22"/>
      <c r="E281" s="19"/>
      <c r="F281" s="20"/>
      <c r="G281" s="16">
        <f>IF(AND(E281="",F281=""),"",IF(OR(E281="",F281=""),"falta dato",E281*F281))</f>
      </c>
      <c r="H281" s="20"/>
      <c r="I281" s="16">
        <f>IF(G281="","",IF(ISNUMBER(G281),G281-IF(H281="",0,H281),"falta dato"))</f>
      </c>
    </row>
    <row r="282" spans="1:9" x14ac:dyDescent="0.25">
      <c r="A282" s="17"/>
      <c r="B282" s="18"/>
      <c r="C282" s="18"/>
      <c r="D282" s="22"/>
      <c r="E282" s="19"/>
      <c r="F282" s="20"/>
      <c r="G282" s="16">
        <f>IF(AND(E282="",F282=""),"",IF(OR(E282="",F282=""),"falta dato",E282*F282))</f>
      </c>
      <c r="H282" s="20"/>
      <c r="I282" s="16">
        <f>IF(G282="","",IF(ISNUMBER(G282),G282-IF(H282="",0,H282),"falta dato"))</f>
      </c>
    </row>
    <row r="283" spans="1:9" x14ac:dyDescent="0.25">
      <c r="A283" s="17"/>
      <c r="B283" s="18"/>
      <c r="C283" s="18"/>
      <c r="D283" s="22"/>
      <c r="E283" s="19"/>
      <c r="F283" s="20"/>
      <c r="G283" s="16">
        <f>IF(AND(E283="",F283=""),"",IF(OR(E283="",F283=""),"falta dato",E283*F283))</f>
      </c>
      <c r="H283" s="20"/>
      <c r="I283" s="16">
        <f>IF(G283="","",IF(ISNUMBER(G283),G283-IF(H283="",0,H283),"falta dato"))</f>
      </c>
    </row>
    <row r="284" spans="1:9" x14ac:dyDescent="0.25">
      <c r="A284" s="17"/>
      <c r="B284" s="18"/>
      <c r="C284" s="18"/>
      <c r="D284" s="22"/>
      <c r="E284" s="19"/>
      <c r="F284" s="20"/>
      <c r="G284" s="16">
        <f>IF(AND(E284="",F284=""),"",IF(OR(E284="",F284=""),"falta dato",E284*F284))</f>
      </c>
      <c r="H284" s="20"/>
      <c r="I284" s="16">
        <f>IF(G284="","",IF(ISNUMBER(G284),G284-IF(H284="",0,H284),"falta dato"))</f>
      </c>
    </row>
    <row r="285" spans="1:9" x14ac:dyDescent="0.25">
      <c r="A285" s="17"/>
      <c r="B285" s="18"/>
      <c r="C285" s="18"/>
      <c r="D285" s="22"/>
      <c r="E285" s="19"/>
      <c r="F285" s="20"/>
      <c r="G285" s="16">
        <f>IF(AND(E285="",F285=""),"",IF(OR(E285="",F285=""),"falta dato",E285*F285))</f>
      </c>
      <c r="H285" s="20"/>
      <c r="I285" s="16">
        <f>IF(G285="","",IF(ISNUMBER(G285),G285-IF(H285="",0,H285),"falta dato"))</f>
      </c>
    </row>
    <row r="286" spans="1:9" x14ac:dyDescent="0.25">
      <c r="A286" s="17"/>
      <c r="B286" s="18"/>
      <c r="C286" s="18"/>
      <c r="D286" s="22"/>
      <c r="E286" s="19"/>
      <c r="F286" s="20"/>
      <c r="G286" s="16">
        <f>IF(AND(E286="",F286=""),"",IF(OR(E286="",F286=""),"falta dato",E286*F286))</f>
      </c>
      <c r="H286" s="20"/>
      <c r="I286" s="16">
        <f>IF(G286="","",IF(ISNUMBER(G286),G286-IF(H286="",0,H286),"falta dato"))</f>
      </c>
    </row>
    <row r="287" spans="1:9" x14ac:dyDescent="0.25">
      <c r="A287" s="17"/>
      <c r="B287" s="18"/>
      <c r="C287" s="18"/>
      <c r="D287" s="22"/>
      <c r="E287" s="19"/>
      <c r="F287" s="20"/>
      <c r="G287" s="16">
        <f>IF(AND(E287="",F287=""),"",IF(OR(E287="",F287=""),"falta dato",E287*F287))</f>
      </c>
      <c r="H287" s="20"/>
      <c r="I287" s="16">
        <f>IF(G287="","",IF(ISNUMBER(G287),G287-IF(H287="",0,H287),"falta dato"))</f>
      </c>
    </row>
    <row r="288" spans="1:9" x14ac:dyDescent="0.25">
      <c r="A288" s="17"/>
      <c r="B288" s="18"/>
      <c r="C288" s="18"/>
      <c r="D288" s="22"/>
      <c r="E288" s="19"/>
      <c r="F288" s="20"/>
      <c r="G288" s="16">
        <f>IF(AND(E288="",F288=""),"",IF(OR(E288="",F288=""),"falta dato",E288*F288))</f>
      </c>
      <c r="H288" s="20"/>
      <c r="I288" s="16">
        <f>IF(G288="","",IF(ISNUMBER(G288),G288-IF(H288="",0,H288),"falta dato"))</f>
      </c>
    </row>
    <row r="289" spans="1:9" x14ac:dyDescent="0.25">
      <c r="A289" s="17"/>
      <c r="B289" s="18"/>
      <c r="C289" s="18"/>
      <c r="D289" s="22"/>
      <c r="E289" s="19"/>
      <c r="F289" s="20"/>
      <c r="G289" s="16">
        <f>IF(AND(E289="",F289=""),"",IF(OR(E289="",F289=""),"falta dato",E289*F289))</f>
      </c>
      <c r="H289" s="20"/>
      <c r="I289" s="16">
        <f>IF(G289="","",IF(ISNUMBER(G289),G289-IF(H289="",0,H289),"falta dato"))</f>
      </c>
    </row>
    <row r="290" spans="1:9" x14ac:dyDescent="0.25">
      <c r="A290" s="17"/>
      <c r="B290" s="18"/>
      <c r="C290" s="18"/>
      <c r="D290" s="22"/>
      <c r="E290" s="19"/>
      <c r="F290" s="20"/>
      <c r="G290" s="16">
        <f>IF(AND(E290="",F290=""),"",IF(OR(E290="",F290=""),"falta dato",E290*F290))</f>
      </c>
      <c r="H290" s="20"/>
      <c r="I290" s="16">
        <f>IF(G290="","",IF(ISNUMBER(G290),G290-IF(H290="",0,H290),"falta dato"))</f>
      </c>
    </row>
    <row r="291" spans="1:9" x14ac:dyDescent="0.25">
      <c r="A291" s="17"/>
      <c r="B291" s="18"/>
      <c r="C291" s="18"/>
      <c r="D291" s="22"/>
      <c r="E291" s="19"/>
      <c r="F291" s="20"/>
      <c r="G291" s="16">
        <f>IF(AND(E291="",F291=""),"",IF(OR(E291="",F291=""),"falta dato",E291*F291))</f>
      </c>
      <c r="H291" s="20"/>
      <c r="I291" s="16">
        <f>IF(G291="","",IF(ISNUMBER(G291),G291-IF(H291="",0,H291),"falta dato"))</f>
      </c>
    </row>
    <row r="292" spans="1:9" x14ac:dyDescent="0.25">
      <c r="A292" s="17"/>
      <c r="B292" s="18"/>
      <c r="C292" s="18"/>
      <c r="D292" s="22"/>
      <c r="E292" s="19"/>
      <c r="F292" s="20"/>
      <c r="G292" s="16">
        <f>IF(AND(E292="",F292=""),"",IF(OR(E292="",F292=""),"falta dato",E292*F292))</f>
      </c>
      <c r="H292" s="20"/>
      <c r="I292" s="16">
        <f>IF(G292="","",IF(ISNUMBER(G292),G292-IF(H292="",0,H292),"falta dato"))</f>
      </c>
    </row>
    <row r="293" spans="1:9" x14ac:dyDescent="0.25">
      <c r="A293" s="17"/>
      <c r="B293" s="18"/>
      <c r="C293" s="18"/>
      <c r="D293" s="22"/>
      <c r="E293" s="19"/>
      <c r="F293" s="20"/>
      <c r="G293" s="16">
        <f>IF(AND(E293="",F293=""),"",IF(OR(E293="",F293=""),"falta dato",E293*F293))</f>
      </c>
      <c r="H293" s="20"/>
      <c r="I293" s="16">
        <f>IF(G293="","",IF(ISNUMBER(G293),G293-IF(H293="",0,H293),"falta dato"))</f>
      </c>
    </row>
    <row r="294" spans="1:9" x14ac:dyDescent="0.25">
      <c r="A294" s="17"/>
      <c r="B294" s="18"/>
      <c r="C294" s="18"/>
      <c r="D294" s="22"/>
      <c r="E294" s="19"/>
      <c r="F294" s="20"/>
      <c r="G294" s="16">
        <f>IF(AND(E294="",F294=""),"",IF(OR(E294="",F294=""),"falta dato",E294*F294))</f>
      </c>
      <c r="H294" s="20"/>
      <c r="I294" s="16">
        <f>IF(G294="","",IF(ISNUMBER(G294),G294-IF(H294="",0,H294),"falta dato"))</f>
      </c>
    </row>
    <row r="295" spans="1:9" x14ac:dyDescent="0.25">
      <c r="A295" s="17"/>
      <c r="B295" s="18"/>
      <c r="C295" s="18"/>
      <c r="D295" s="22"/>
      <c r="E295" s="19"/>
      <c r="F295" s="20"/>
      <c r="G295" s="16">
        <f>IF(AND(E295="",F295=""),"",IF(OR(E295="",F295=""),"falta dato",E295*F295))</f>
      </c>
      <c r="H295" s="20"/>
      <c r="I295" s="16">
        <f>IF(G295="","",IF(ISNUMBER(G295),G295-IF(H295="",0,H295),"falta dato"))</f>
      </c>
    </row>
    <row r="296" spans="1:9" x14ac:dyDescent="0.25">
      <c r="A296" s="17"/>
      <c r="B296" s="18"/>
      <c r="C296" s="18"/>
      <c r="D296" s="22"/>
      <c r="E296" s="19"/>
      <c r="F296" s="20"/>
      <c r="G296" s="16">
        <f>IF(AND(E296="",F296=""),"",IF(OR(E296="",F296=""),"falta dato",E296*F296))</f>
      </c>
      <c r="H296" s="20"/>
      <c r="I296" s="16">
        <f>IF(G296="","",IF(ISNUMBER(G296),G296-IF(H296="",0,H296),"falta dato"))</f>
      </c>
    </row>
    <row r="297" spans="1:9" x14ac:dyDescent="0.25">
      <c r="A297" s="17"/>
      <c r="B297" s="18"/>
      <c r="C297" s="18"/>
      <c r="D297" s="22"/>
      <c r="E297" s="19"/>
      <c r="F297" s="20"/>
      <c r="G297" s="16">
        <f>IF(AND(E297="",F297=""),"",IF(OR(E297="",F297=""),"falta dato",E297*F297))</f>
      </c>
      <c r="H297" s="20"/>
      <c r="I297" s="16">
        <f>IF(G297="","",IF(ISNUMBER(G297),G297-IF(H297="",0,H297),"falta dato"))</f>
      </c>
    </row>
    <row r="298" spans="1:9" x14ac:dyDescent="0.25">
      <c r="A298" s="17"/>
      <c r="B298" s="18"/>
      <c r="C298" s="18"/>
      <c r="D298" s="22"/>
      <c r="E298" s="19"/>
      <c r="F298" s="20"/>
      <c r="G298" s="16">
        <f>IF(AND(E298="",F298=""),"",IF(OR(E298="",F298=""),"falta dato",E298*F298))</f>
      </c>
      <c r="H298" s="20"/>
      <c r="I298" s="16">
        <f>IF(G298="","",IF(ISNUMBER(G298),G298-IF(H298="",0,H298),"falta dato"))</f>
      </c>
    </row>
    <row r="299" spans="1:9" x14ac:dyDescent="0.25">
      <c r="A299" s="17"/>
      <c r="B299" s="18"/>
      <c r="C299" s="18"/>
      <c r="D299" s="22"/>
      <c r="E299" s="19"/>
      <c r="F299" s="20"/>
      <c r="G299" s="16">
        <f>IF(AND(E299="",F299=""),"",IF(OR(E299="",F299=""),"falta dato",E299*F299))</f>
      </c>
      <c r="H299" s="20"/>
      <c r="I299" s="16">
        <f>IF(G299="","",IF(ISNUMBER(G299),G299-IF(H299="",0,H299),"falta dato"))</f>
      </c>
    </row>
    <row r="300" spans="1:9" x14ac:dyDescent="0.25">
      <c r="A300" s="17"/>
      <c r="B300" s="18"/>
      <c r="C300" s="18"/>
      <c r="D300" s="22"/>
      <c r="E300" s="19"/>
      <c r="F300" s="20"/>
      <c r="G300" s="16">
        <f>IF(AND(E300="",F300=""),"",IF(OR(E300="",F300=""),"falta dato",E300*F300))</f>
      </c>
      <c r="H300" s="20"/>
      <c r="I300" s="16">
        <f>IF(G300="","",IF(ISNUMBER(G300),G300-IF(H300="",0,H300),"falta dato"))</f>
      </c>
    </row>
    <row r="301" spans="1:9" x14ac:dyDescent="0.25">
      <c r="A301" s="17"/>
      <c r="B301" s="18"/>
      <c r="C301" s="18"/>
      <c r="D301" s="22"/>
      <c r="E301" s="19"/>
      <c r="F301" s="20"/>
      <c r="G301" s="16">
        <f>IF(AND(E301="",F301=""),"",IF(OR(E301="",F301=""),"falta dato",E301*F301))</f>
      </c>
      <c r="H301" s="20"/>
      <c r="I301" s="16">
        <f>IF(G301="","",IF(ISNUMBER(G301),G301-IF(H301="",0,H301),"falta dato"))</f>
      </c>
    </row>
    <row r="302" spans="1:9" x14ac:dyDescent="0.25">
      <c r="A302" s="17"/>
      <c r="B302" s="18"/>
      <c r="C302" s="18"/>
      <c r="D302" s="22"/>
      <c r="E302" s="19"/>
      <c r="F302" s="20"/>
      <c r="G302" s="16">
        <f>IF(AND(E302="",F302=""),"",IF(OR(E302="",F302=""),"falta dato",E302*F302))</f>
      </c>
      <c r="H302" s="20"/>
      <c r="I302" s="16">
        <f>IF(G302="","",IF(ISNUMBER(G302),G302-IF(H302="",0,H302),"falta dato"))</f>
      </c>
    </row>
    <row r="303" spans="1:9" x14ac:dyDescent="0.25">
      <c r="A303" s="17"/>
      <c r="B303" s="18"/>
      <c r="C303" s="18"/>
      <c r="D303" s="22"/>
      <c r="E303" s="19"/>
      <c r="F303" s="20"/>
      <c r="G303" s="16">
        <f>IF(AND(E303="",F303=""),"",IF(OR(E303="",F303=""),"falta dato",E303*F303))</f>
      </c>
      <c r="H303" s="20"/>
      <c r="I303" s="16">
        <f>IF(G303="","",IF(ISNUMBER(G303),G303-IF(H303="",0,H303),"falta dato"))</f>
      </c>
    </row>
    <row r="304" spans="1:9" x14ac:dyDescent="0.25">
      <c r="A304" s="17"/>
      <c r="B304" s="18"/>
      <c r="C304" s="18"/>
      <c r="D304" s="22"/>
      <c r="E304" s="19"/>
      <c r="F304" s="20"/>
      <c r="G304" s="16">
        <f>IF(AND(E304="",F304=""),"",IF(OR(E304="",F304=""),"falta dato",E304*F304))</f>
      </c>
      <c r="H304" s="20"/>
      <c r="I304" s="16">
        <f>IF(G304="","",IF(ISNUMBER(G304),G304-IF(H304="",0,H304),"falta dato"))</f>
      </c>
    </row>
    <row r="305" spans="1:9" x14ac:dyDescent="0.25">
      <c r="A305" s="17"/>
      <c r="B305" s="18"/>
      <c r="C305" s="18"/>
      <c r="D305" s="22"/>
      <c r="E305" s="19"/>
      <c r="F305" s="20"/>
      <c r="G305" s="16">
        <f>IF(AND(E305="",F305=""),"",IF(OR(E305="",F305=""),"falta dato",E305*F305))</f>
      </c>
      <c r="H305" s="20"/>
      <c r="I305" s="16">
        <f>IF(G305="","",IF(ISNUMBER(G305),G305-IF(H305="",0,H305),"falta dato"))</f>
      </c>
    </row>
    <row r="306" spans="1:9" x14ac:dyDescent="0.25">
      <c r="A306" s="17"/>
      <c r="B306" s="18"/>
      <c r="C306" s="18"/>
      <c r="D306" s="22"/>
      <c r="E306" s="19"/>
      <c r="F306" s="20"/>
      <c r="G306" s="16">
        <f>IF(AND(E306="",F306=""),"",IF(OR(E306="",F306=""),"falta dato",E306*F306))</f>
      </c>
      <c r="H306" s="20"/>
      <c r="I306" s="16">
        <f>IF(G306="","",IF(ISNUMBER(G306),G306-IF(H306="",0,H306),"falta dato"))</f>
      </c>
    </row>
    <row r="307" spans="1:9" x14ac:dyDescent="0.25">
      <c r="A307" s="17"/>
      <c r="B307" s="18"/>
      <c r="C307" s="18"/>
      <c r="D307" s="22"/>
      <c r="E307" s="19"/>
      <c r="F307" s="20"/>
      <c r="G307" s="16">
        <f>IF(AND(E307="",F307=""),"",IF(OR(E307="",F307=""),"falta dato",E307*F307))</f>
      </c>
      <c r="H307" s="20"/>
      <c r="I307" s="16">
        <f>IF(G307="","",IF(ISNUMBER(G307),G307-IF(H307="",0,H307),"falta dato"))</f>
      </c>
    </row>
    <row r="308" spans="1:9" x14ac:dyDescent="0.25">
      <c r="A308" s="17"/>
      <c r="B308" s="18"/>
      <c r="C308" s="18"/>
      <c r="D308" s="22"/>
      <c r="E308" s="19"/>
      <c r="F308" s="20"/>
      <c r="G308" s="16">
        <f>IF(AND(E308="",F308=""),"",IF(OR(E308="",F308=""),"falta dato",E308*F308))</f>
      </c>
      <c r="H308" s="20"/>
      <c r="I308" s="16">
        <f>IF(G308="","",IF(ISNUMBER(G308),G308-IF(H308="",0,H308),"falta dato"))</f>
      </c>
    </row>
    <row r="309" spans="1:9" x14ac:dyDescent="0.25">
      <c r="A309" s="17"/>
      <c r="B309" s="18"/>
      <c r="C309" s="18"/>
      <c r="D309" s="22"/>
      <c r="E309" s="19"/>
      <c r="F309" s="20"/>
      <c r="G309" s="16">
        <f>IF(AND(E309="",F309=""),"",IF(OR(E309="",F309=""),"falta dato",E309*F309))</f>
      </c>
      <c r="H309" s="20"/>
      <c r="I309" s="16">
        <f>IF(G309="","",IF(ISNUMBER(G309),G309-IF(H309="",0,H309),"falta dato"))</f>
      </c>
    </row>
    <row r="310" spans="1:9" x14ac:dyDescent="0.25">
      <c r="A310" s="17"/>
      <c r="B310" s="18"/>
      <c r="C310" s="18"/>
      <c r="D310" s="22"/>
      <c r="E310" s="19"/>
      <c r="F310" s="20"/>
      <c r="G310" s="16">
        <f>IF(AND(E310="",F310=""),"",IF(OR(E310="",F310=""),"falta dato",E310*F310))</f>
      </c>
      <c r="H310" s="20"/>
      <c r="I310" s="16">
        <f>IF(G310="","",IF(ISNUMBER(G310),G310-IF(H310="",0,H310),"falta dato"))</f>
      </c>
    </row>
    <row r="311" spans="1:9" x14ac:dyDescent="0.25">
      <c r="A311" s="17"/>
      <c r="B311" s="18"/>
      <c r="C311" s="18"/>
      <c r="D311" s="22"/>
      <c r="E311" s="19"/>
      <c r="F311" s="20"/>
      <c r="G311" s="16">
        <f>IF(AND(E311="",F311=""),"",IF(OR(E311="",F311=""),"falta dato",E311*F311))</f>
      </c>
      <c r="H311" s="20"/>
      <c r="I311" s="16">
        <f>IF(G311="","",IF(ISNUMBER(G311),G311-IF(H311="",0,H311),"falta dato"))</f>
      </c>
    </row>
    <row r="312" spans="1:9" x14ac:dyDescent="0.25">
      <c r="A312" s="17"/>
      <c r="B312" s="18"/>
      <c r="C312" s="18"/>
      <c r="D312" s="22"/>
      <c r="E312" s="19"/>
      <c r="F312" s="20"/>
      <c r="G312" s="16">
        <f>IF(AND(E312="",F312=""),"",IF(OR(E312="",F312=""),"falta dato",E312*F312))</f>
      </c>
      <c r="H312" s="20"/>
      <c r="I312" s="16">
        <f>IF(G312="","",IF(ISNUMBER(G312),G312-IF(H312="",0,H312),"falta dato"))</f>
      </c>
    </row>
    <row r="313" spans="1:9" x14ac:dyDescent="0.25">
      <c r="A313" s="17"/>
      <c r="B313" s="18"/>
      <c r="C313" s="18"/>
      <c r="D313" s="22"/>
      <c r="E313" s="19"/>
      <c r="F313" s="20"/>
      <c r="G313" s="16">
        <f>IF(AND(E313="",F313=""),"",IF(OR(E313="",F313=""),"falta dato",E313*F313))</f>
      </c>
      <c r="H313" s="20"/>
      <c r="I313" s="16">
        <f>IF(G313="","",IF(ISNUMBER(G313),G313-IF(H313="",0,H313),"falta dato"))</f>
      </c>
    </row>
    <row r="314" spans="1:9" x14ac:dyDescent="0.25">
      <c r="A314" s="17"/>
      <c r="B314" s="18"/>
      <c r="C314" s="18"/>
      <c r="D314" s="22"/>
      <c r="E314" s="19"/>
      <c r="F314" s="20"/>
      <c r="G314" s="16">
        <f>IF(AND(E314="",F314=""),"",IF(OR(E314="",F314=""),"falta dato",E314*F314))</f>
      </c>
      <c r="H314" s="20"/>
      <c r="I314" s="16">
        <f>IF(G314="","",IF(ISNUMBER(G314),G314-IF(H314="",0,H314),"falta dato"))</f>
      </c>
    </row>
    <row r="315" spans="1:9" x14ac:dyDescent="0.25">
      <c r="A315" s="17"/>
      <c r="B315" s="18"/>
      <c r="C315" s="18"/>
      <c r="D315" s="22"/>
      <c r="E315" s="19"/>
      <c r="F315" s="20"/>
      <c r="G315" s="16">
        <f>IF(AND(E315="",F315=""),"",IF(OR(E315="",F315=""),"falta dato",E315*F315))</f>
      </c>
      <c r="H315" s="20"/>
      <c r="I315" s="16">
        <f>IF(G315="","",IF(ISNUMBER(G315),G315-IF(H315="",0,H315),"falta dato"))</f>
      </c>
    </row>
    <row r="316" spans="1:9" x14ac:dyDescent="0.25">
      <c r="A316" s="17"/>
      <c r="B316" s="18"/>
      <c r="C316" s="18"/>
      <c r="D316" s="22"/>
      <c r="E316" s="19"/>
      <c r="F316" s="20"/>
      <c r="G316" s="16">
        <f>IF(AND(E316="",F316=""),"",IF(OR(E316="",F316=""),"falta dato",E316*F316))</f>
      </c>
      <c r="H316" s="20"/>
      <c r="I316" s="16">
        <f>IF(G316="","",IF(ISNUMBER(G316),G316-IF(H316="",0,H316),"falta dato"))</f>
      </c>
    </row>
    <row r="317" spans="1:9" x14ac:dyDescent="0.25">
      <c r="A317" s="17"/>
      <c r="B317" s="18"/>
      <c r="C317" s="18"/>
      <c r="D317" s="22"/>
      <c r="E317" s="19"/>
      <c r="F317" s="20"/>
      <c r="G317" s="16">
        <f>IF(AND(E317="",F317=""),"",IF(OR(E317="",F317=""),"falta dato",E317*F317))</f>
      </c>
      <c r="H317" s="20"/>
      <c r="I317" s="16">
        <f>IF(G317="","",IF(ISNUMBER(G317),G317-IF(H317="",0,H317),"falta dato"))</f>
      </c>
    </row>
    <row r="318" spans="1:9" x14ac:dyDescent="0.25">
      <c r="A318" s="17"/>
      <c r="B318" s="18"/>
      <c r="C318" s="18"/>
      <c r="D318" s="22"/>
      <c r="E318" s="19"/>
      <c r="F318" s="20"/>
      <c r="G318" s="16">
        <f>IF(AND(E318="",F318=""),"",IF(OR(E318="",F318=""),"falta dato",E318*F318))</f>
      </c>
      <c r="H318" s="20"/>
      <c r="I318" s="16">
        <f>IF(G318="","",IF(ISNUMBER(G318),G318-IF(H318="",0,H318),"falta dato"))</f>
      </c>
    </row>
    <row r="319" spans="1:9" x14ac:dyDescent="0.25">
      <c r="A319" s="17"/>
      <c r="B319" s="18"/>
      <c r="C319" s="18"/>
      <c r="D319" s="22"/>
      <c r="E319" s="19"/>
      <c r="F319" s="20"/>
      <c r="G319" s="16">
        <f>IF(AND(E319="",F319=""),"",IF(OR(E319="",F319=""),"falta dato",E319*F319))</f>
      </c>
      <c r="H319" s="20"/>
      <c r="I319" s="16">
        <f>IF(G319="","",IF(ISNUMBER(G319),G319-IF(H319="",0,H319),"falta dato"))</f>
      </c>
    </row>
    <row r="320" spans="1:9" x14ac:dyDescent="0.25">
      <c r="A320" s="17"/>
      <c r="B320" s="18"/>
      <c r="C320" s="18"/>
      <c r="D320" s="22"/>
      <c r="E320" s="19"/>
      <c r="F320" s="20"/>
      <c r="G320" s="16">
        <f>IF(AND(E320="",F320=""),"",IF(OR(E320="",F320=""),"falta dato",E320*F320))</f>
      </c>
      <c r="H320" s="20"/>
      <c r="I320" s="16">
        <f>IF(G320="","",IF(ISNUMBER(G320),G320-IF(H320="",0,H320),"falta dato"))</f>
      </c>
    </row>
    <row r="321" spans="1:9" x14ac:dyDescent="0.25">
      <c r="A321" s="17"/>
      <c r="B321" s="18"/>
      <c r="C321" s="18"/>
      <c r="D321" s="22"/>
      <c r="E321" s="19"/>
      <c r="F321" s="20"/>
      <c r="G321" s="16">
        <f>IF(AND(E321="",F321=""),"",IF(OR(E321="",F321=""),"falta dato",E321*F321))</f>
      </c>
      <c r="H321" s="20"/>
      <c r="I321" s="16">
        <f>IF(G321="","",IF(ISNUMBER(G321),G321-IF(H321="",0,H321),"falta dato"))</f>
      </c>
    </row>
    <row r="322" spans="1:9" x14ac:dyDescent="0.25">
      <c r="A322" s="17"/>
      <c r="B322" s="18"/>
      <c r="C322" s="18"/>
      <c r="D322" s="22"/>
      <c r="E322" s="19"/>
      <c r="F322" s="20"/>
      <c r="G322" s="16">
        <f>IF(AND(E322="",F322=""),"",IF(OR(E322="",F322=""),"falta dato",E322*F322))</f>
      </c>
      <c r="H322" s="20"/>
      <c r="I322" s="16">
        <f>IF(G322="","",IF(ISNUMBER(G322),G322-IF(H322="",0,H322),"falta dato"))</f>
      </c>
    </row>
    <row r="323" spans="1:9" x14ac:dyDescent="0.25">
      <c r="A323" s="17"/>
      <c r="B323" s="18"/>
      <c r="C323" s="18"/>
      <c r="D323" s="22"/>
      <c r="E323" s="19"/>
      <c r="F323" s="20"/>
      <c r="G323" s="16">
        <f>IF(AND(E323="",F323=""),"",IF(OR(E323="",F323=""),"falta dato",E323*F323))</f>
      </c>
      <c r="H323" s="20"/>
      <c r="I323" s="16">
        <f>IF(G323="","",IF(ISNUMBER(G323),G323-IF(H323="",0,H323),"falta dato"))</f>
      </c>
    </row>
    <row r="324" spans="1:9" x14ac:dyDescent="0.25">
      <c r="A324" s="17"/>
      <c r="B324" s="18"/>
      <c r="C324" s="18"/>
      <c r="D324" s="22"/>
      <c r="E324" s="19"/>
      <c r="F324" s="20"/>
      <c r="G324" s="16">
        <f>IF(AND(E324="",F324=""),"",IF(OR(E324="",F324=""),"falta dato",E324*F324))</f>
      </c>
      <c r="H324" s="20"/>
      <c r="I324" s="16">
        <f>IF(G324="","",IF(ISNUMBER(G324),G324-IF(H324="",0,H324),"falta dato"))</f>
      </c>
    </row>
    <row r="325" spans="1:9" x14ac:dyDescent="0.25">
      <c r="A325" s="17"/>
      <c r="B325" s="18"/>
      <c r="C325" s="18"/>
      <c r="D325" s="22"/>
      <c r="E325" s="19"/>
      <c r="F325" s="20"/>
      <c r="G325" s="16">
        <f>IF(AND(E325="",F325=""),"",IF(OR(E325="",F325=""),"falta dato",E325*F325))</f>
      </c>
      <c r="H325" s="20"/>
      <c r="I325" s="16">
        <f>IF(G325="","",IF(ISNUMBER(G325),G325-IF(H325="",0,H325),"falta dato"))</f>
      </c>
    </row>
    <row r="326" spans="1:9" x14ac:dyDescent="0.25">
      <c r="A326" s="17"/>
      <c r="B326" s="18"/>
      <c r="C326" s="18"/>
      <c r="D326" s="22"/>
      <c r="E326" s="19"/>
      <c r="F326" s="20"/>
      <c r="G326" s="16">
        <f>IF(AND(E326="",F326=""),"",IF(OR(E326="",F326=""),"falta dato",E326*F326))</f>
      </c>
      <c r="H326" s="20"/>
      <c r="I326" s="16">
        <f>IF(G326="","",IF(ISNUMBER(G326),G326-IF(H326="",0,H326),"falta dato"))</f>
      </c>
    </row>
    <row r="327" spans="1:9" x14ac:dyDescent="0.25">
      <c r="A327" s="17"/>
      <c r="B327" s="18"/>
      <c r="C327" s="18"/>
      <c r="D327" s="22"/>
      <c r="E327" s="19"/>
      <c r="F327" s="20"/>
      <c r="G327" s="16">
        <f>IF(AND(E327="",F327=""),"",IF(OR(E327="",F327=""),"falta dato",E327*F327))</f>
      </c>
      <c r="H327" s="20"/>
      <c r="I327" s="16">
        <f>IF(G327="","",IF(ISNUMBER(G327),G327-IF(H327="",0,H327),"falta dato"))</f>
      </c>
    </row>
    <row r="328" spans="1:9" x14ac:dyDescent="0.25">
      <c r="A328" s="17"/>
      <c r="B328" s="18"/>
      <c r="C328" s="18"/>
      <c r="D328" s="22"/>
      <c r="E328" s="19"/>
      <c r="F328" s="20"/>
      <c r="G328" s="16">
        <f>IF(AND(E328="",F328=""),"",IF(OR(E328="",F328=""),"falta dato",E328*F328))</f>
      </c>
      <c r="H328" s="20"/>
      <c r="I328" s="16">
        <f>IF(G328="","",IF(ISNUMBER(G328),G328-IF(H328="",0,H328),"falta dato"))</f>
      </c>
    </row>
    <row r="329" spans="1:9" x14ac:dyDescent="0.25">
      <c r="A329" s="17"/>
      <c r="B329" s="18"/>
      <c r="C329" s="18"/>
      <c r="D329" s="22"/>
      <c r="E329" s="19"/>
      <c r="F329" s="20"/>
      <c r="G329" s="16">
        <f>IF(AND(E329="",F329=""),"",IF(OR(E329="",F329=""),"falta dato",E329*F329))</f>
      </c>
      <c r="H329" s="20"/>
      <c r="I329" s="16">
        <f>IF(G329="","",IF(ISNUMBER(G329),G329-IF(H329="",0,H329),"falta dato"))</f>
      </c>
    </row>
    <row r="330" spans="1:9" x14ac:dyDescent="0.25">
      <c r="A330" s="17"/>
      <c r="B330" s="18"/>
      <c r="C330" s="18"/>
      <c r="D330" s="22"/>
      <c r="E330" s="19"/>
      <c r="F330" s="20"/>
      <c r="G330" s="16">
        <f>IF(AND(E330="",F330=""),"",IF(OR(E330="",F330=""),"falta dato",E330*F330))</f>
      </c>
      <c r="H330" s="20"/>
      <c r="I330" s="16">
        <f>IF(G330="","",IF(ISNUMBER(G330),G330-IF(H330="",0,H330),"falta dato"))</f>
      </c>
    </row>
    <row r="331" spans="1:9" x14ac:dyDescent="0.25">
      <c r="A331" s="17"/>
      <c r="B331" s="18"/>
      <c r="C331" s="18"/>
      <c r="D331" s="22"/>
      <c r="E331" s="19"/>
      <c r="F331" s="20"/>
      <c r="G331" s="16">
        <f>IF(AND(E331="",F331=""),"",IF(OR(E331="",F331=""),"falta dato",E331*F331))</f>
      </c>
      <c r="H331" s="20"/>
      <c r="I331" s="16">
        <f>IF(G331="","",IF(ISNUMBER(G331),G331-IF(H331="",0,H331),"falta dato"))</f>
      </c>
    </row>
    <row r="332" spans="1:9" x14ac:dyDescent="0.25">
      <c r="A332" s="17"/>
      <c r="B332" s="18"/>
      <c r="C332" s="18"/>
      <c r="D332" s="22"/>
      <c r="E332" s="19"/>
      <c r="F332" s="20"/>
      <c r="G332" s="16">
        <f>IF(AND(E332="",F332=""),"",IF(OR(E332="",F332=""),"falta dato",E332*F332))</f>
      </c>
      <c r="H332" s="20"/>
      <c r="I332" s="16">
        <f>IF(G332="","",IF(ISNUMBER(G332),G332-IF(H332="",0,H332),"falta dato"))</f>
      </c>
    </row>
    <row r="333" spans="1:9" x14ac:dyDescent="0.25">
      <c r="A333" s="17"/>
      <c r="B333" s="18"/>
      <c r="C333" s="18"/>
      <c r="D333" s="22"/>
      <c r="E333" s="19"/>
      <c r="F333" s="20"/>
      <c r="G333" s="16">
        <f>IF(AND(E333="",F333=""),"",IF(OR(E333="",F333=""),"falta dato",E333*F333))</f>
      </c>
      <c r="H333" s="20"/>
      <c r="I333" s="16">
        <f>IF(G333="","",IF(ISNUMBER(G333),G333-IF(H333="",0,H333),"falta dato"))</f>
      </c>
    </row>
    <row r="334" spans="1:9" x14ac:dyDescent="0.25">
      <c r="A334" s="17"/>
      <c r="B334" s="18"/>
      <c r="C334" s="18"/>
      <c r="D334" s="22"/>
      <c r="E334" s="19"/>
      <c r="F334" s="20"/>
      <c r="G334" s="16">
        <f>IF(AND(E334="",F334=""),"",IF(OR(E334="",F334=""),"falta dato",E334*F334))</f>
      </c>
      <c r="H334" s="20"/>
      <c r="I334" s="16">
        <f>IF(G334="","",IF(ISNUMBER(G334),G334-IF(H334="",0,H334),"falta dato"))</f>
      </c>
    </row>
    <row r="335" spans="1:9" x14ac:dyDescent="0.25">
      <c r="A335" s="17"/>
      <c r="B335" s="18"/>
      <c r="C335" s="18"/>
      <c r="D335" s="22"/>
      <c r="E335" s="19"/>
      <c r="F335" s="20"/>
      <c r="G335" s="16">
        <f>IF(AND(E335="",F335=""),"",IF(OR(E335="",F335=""),"falta dato",E335*F335))</f>
      </c>
      <c r="H335" s="20"/>
      <c r="I335" s="16">
        <f>IF(G335="","",IF(ISNUMBER(G335),G335-IF(H335="",0,H335),"falta dato"))</f>
      </c>
    </row>
    <row r="336" spans="1:9" x14ac:dyDescent="0.25">
      <c r="A336" s="17"/>
      <c r="B336" s="18"/>
      <c r="C336" s="18"/>
      <c r="D336" s="22"/>
      <c r="E336" s="19"/>
      <c r="F336" s="20"/>
      <c r="G336" s="16">
        <f>IF(AND(E336="",F336=""),"",IF(OR(E336="",F336=""),"falta dato",E336*F336))</f>
      </c>
      <c r="H336" s="20"/>
      <c r="I336" s="16">
        <f>IF(G336="","",IF(ISNUMBER(G336),G336-IF(H336="",0,H336),"falta dato"))</f>
      </c>
    </row>
    <row r="337" spans="1:9" x14ac:dyDescent="0.25">
      <c r="A337" s="17"/>
      <c r="B337" s="18"/>
      <c r="C337" s="18"/>
      <c r="D337" s="22"/>
      <c r="E337" s="19"/>
      <c r="F337" s="20"/>
      <c r="G337" s="16">
        <f>IF(AND(E337="",F337=""),"",IF(OR(E337="",F337=""),"falta dato",E337*F337))</f>
      </c>
      <c r="H337" s="20"/>
      <c r="I337" s="16">
        <f>IF(G337="","",IF(ISNUMBER(G337),G337-IF(H337="",0,H337),"falta dato"))</f>
      </c>
    </row>
    <row r="338" spans="1:9" x14ac:dyDescent="0.25">
      <c r="A338" s="17"/>
      <c r="B338" s="18"/>
      <c r="C338" s="18"/>
      <c r="D338" s="22"/>
      <c r="E338" s="19"/>
      <c r="F338" s="20"/>
      <c r="G338" s="16">
        <f>IF(AND(E338="",F338=""),"",IF(OR(E338="",F338=""),"falta dato",E338*F338))</f>
      </c>
      <c r="H338" s="20"/>
      <c r="I338" s="16">
        <f>IF(G338="","",IF(ISNUMBER(G338),G338-IF(H338="",0,H338),"falta dato"))</f>
      </c>
    </row>
    <row r="339" spans="1:9" x14ac:dyDescent="0.25">
      <c r="A339" s="17"/>
      <c r="B339" s="18"/>
      <c r="C339" s="18"/>
      <c r="D339" s="22"/>
      <c r="E339" s="19"/>
      <c r="F339" s="20"/>
      <c r="G339" s="16">
        <f>IF(AND(E339="",F339=""),"",IF(OR(E339="",F339=""),"falta dato",E339*F339))</f>
      </c>
      <c r="H339" s="20"/>
      <c r="I339" s="16">
        <f>IF(G339="","",IF(ISNUMBER(G339),G339-IF(H339="",0,H339),"falta dato"))</f>
      </c>
    </row>
    <row r="340" spans="1:9" x14ac:dyDescent="0.25">
      <c r="A340" s="17"/>
      <c r="B340" s="18"/>
      <c r="C340" s="18"/>
      <c r="D340" s="22"/>
      <c r="E340" s="19"/>
      <c r="F340" s="20"/>
      <c r="G340" s="16">
        <f>IF(AND(E340="",F340=""),"",IF(OR(E340="",F340=""),"falta dato",E340*F340))</f>
      </c>
      <c r="H340" s="20"/>
      <c r="I340" s="16">
        <f>IF(G340="","",IF(ISNUMBER(G340),G340-IF(H340="",0,H340),"falta dato"))</f>
      </c>
    </row>
    <row r="341" spans="1:9" x14ac:dyDescent="0.25">
      <c r="A341" s="17"/>
      <c r="B341" s="18"/>
      <c r="C341" s="18"/>
      <c r="D341" s="22"/>
      <c r="E341" s="19"/>
      <c r="F341" s="20"/>
      <c r="G341" s="16">
        <f>IF(AND(E341="",F341=""),"",IF(OR(E341="",F341=""),"falta dato",E341*F341))</f>
      </c>
      <c r="H341" s="20"/>
      <c r="I341" s="16">
        <f>IF(G341="","",IF(ISNUMBER(G341),G341-IF(H341="",0,H341),"falta dato"))</f>
      </c>
    </row>
    <row r="342" spans="1:9" x14ac:dyDescent="0.25">
      <c r="A342" s="17"/>
      <c r="B342" s="18"/>
      <c r="C342" s="18"/>
      <c r="D342" s="22"/>
      <c r="E342" s="19"/>
      <c r="F342" s="20"/>
      <c r="G342" s="16">
        <f>IF(AND(E342="",F342=""),"",IF(OR(E342="",F342=""),"falta dato",E342*F342))</f>
      </c>
      <c r="H342" s="20"/>
      <c r="I342" s="16">
        <f>IF(G342="","",IF(ISNUMBER(G342),G342-IF(H342="",0,H342),"falta dato"))</f>
      </c>
    </row>
    <row r="343" spans="1:9" x14ac:dyDescent="0.25">
      <c r="A343" s="17"/>
      <c r="B343" s="18"/>
      <c r="C343" s="18"/>
      <c r="D343" s="22"/>
      <c r="E343" s="19"/>
      <c r="F343" s="20"/>
      <c r="G343" s="16">
        <f>IF(AND(E343="",F343=""),"",IF(OR(E343="",F343=""),"falta dato",E343*F343))</f>
      </c>
      <c r="H343" s="20"/>
      <c r="I343" s="16">
        <f>IF(G343="","",IF(ISNUMBER(G343),G343-IF(H343="",0,H343),"falta dato"))</f>
      </c>
    </row>
    <row r="344" spans="1:9" x14ac:dyDescent="0.25">
      <c r="A344" s="17"/>
      <c r="B344" s="18"/>
      <c r="C344" s="18"/>
      <c r="D344" s="22"/>
      <c r="E344" s="19"/>
      <c r="F344" s="20"/>
      <c r="G344" s="16">
        <f>IF(AND(E344="",F344=""),"",IF(OR(E344="",F344=""),"falta dato",E344*F344))</f>
      </c>
      <c r="H344" s="20"/>
      <c r="I344" s="16">
        <f>IF(G344="","",IF(ISNUMBER(G344),G344-IF(H344="",0,H344),"falta dato"))</f>
      </c>
    </row>
    <row r="345" spans="1:9" x14ac:dyDescent="0.25">
      <c r="A345" s="17"/>
      <c r="B345" s="18"/>
      <c r="C345" s="18"/>
      <c r="D345" s="22"/>
      <c r="E345" s="19"/>
      <c r="F345" s="20"/>
      <c r="G345" s="16">
        <f>IF(AND(E345="",F345=""),"",IF(OR(E345="",F345=""),"falta dato",E345*F345))</f>
      </c>
      <c r="H345" s="20"/>
      <c r="I345" s="16">
        <f>IF(G345="","",IF(ISNUMBER(G345),G345-IF(H345="",0,H345),"falta dato"))</f>
      </c>
    </row>
    <row r="346" spans="1:9" x14ac:dyDescent="0.25">
      <c r="A346" s="17"/>
      <c r="B346" s="18"/>
      <c r="C346" s="18"/>
      <c r="D346" s="22"/>
      <c r="E346" s="19"/>
      <c r="F346" s="20"/>
      <c r="G346" s="16">
        <f>IF(AND(E346="",F346=""),"",IF(OR(E346="",F346=""),"falta dato",E346*F346))</f>
      </c>
      <c r="H346" s="20"/>
      <c r="I346" s="16">
        <f>IF(G346="","",IF(ISNUMBER(G346),G346-IF(H346="",0,H346),"falta dato"))</f>
      </c>
    </row>
    <row r="347" spans="1:9" x14ac:dyDescent="0.25">
      <c r="A347" s="17"/>
      <c r="B347" s="18"/>
      <c r="C347" s="18"/>
      <c r="D347" s="22"/>
      <c r="E347" s="19"/>
      <c r="F347" s="20"/>
      <c r="G347" s="16">
        <f>IF(AND(E347="",F347=""),"",IF(OR(E347="",F347=""),"falta dato",E347*F347))</f>
      </c>
      <c r="H347" s="20"/>
      <c r="I347" s="16">
        <f>IF(G347="","",IF(ISNUMBER(G347),G347-IF(H347="",0,H347),"falta dato"))</f>
      </c>
    </row>
    <row r="348" spans="1:9" x14ac:dyDescent="0.25">
      <c r="A348" s="17"/>
      <c r="B348" s="18"/>
      <c r="C348" s="18"/>
      <c r="D348" s="22"/>
      <c r="E348" s="19"/>
      <c r="F348" s="20"/>
      <c r="G348" s="16">
        <f>IF(AND(E348="",F348=""),"",IF(OR(E348="",F348=""),"falta dato",E348*F348))</f>
      </c>
      <c r="H348" s="20"/>
      <c r="I348" s="16">
        <f>IF(G348="","",IF(ISNUMBER(G348),G348-IF(H348="",0,H348),"falta dato"))</f>
      </c>
    </row>
    <row r="349" spans="1:9" x14ac:dyDescent="0.25">
      <c r="A349" s="17"/>
      <c r="B349" s="18"/>
      <c r="C349" s="18"/>
      <c r="D349" s="22"/>
      <c r="E349" s="19"/>
      <c r="F349" s="20"/>
      <c r="G349" s="16">
        <f>IF(AND(E349="",F349=""),"",IF(OR(E349="",F349=""),"falta dato",E349*F349))</f>
      </c>
      <c r="H349" s="20"/>
      <c r="I349" s="16">
        <f>IF(G349="","",IF(ISNUMBER(G349),G349-IF(H349="",0,H349),"falta dato"))</f>
      </c>
    </row>
    <row r="350" spans="1:9" x14ac:dyDescent="0.25">
      <c r="A350" s="17"/>
      <c r="B350" s="18"/>
      <c r="C350" s="18"/>
      <c r="D350" s="22"/>
      <c r="E350" s="19"/>
      <c r="F350" s="20"/>
      <c r="G350" s="16">
        <f>IF(AND(E350="",F350=""),"",IF(OR(E350="",F350=""),"falta dato",E350*F350))</f>
      </c>
      <c r="H350" s="20"/>
      <c r="I350" s="16">
        <f>IF(G350="","",IF(ISNUMBER(G350),G350-IF(H350="",0,H350),"falta dato"))</f>
      </c>
    </row>
    <row r="351" spans="1:9" x14ac:dyDescent="0.25">
      <c r="A351" s="17"/>
      <c r="B351" s="18"/>
      <c r="C351" s="18"/>
      <c r="D351" s="22"/>
      <c r="E351" s="19"/>
      <c r="F351" s="20"/>
      <c r="G351" s="16">
        <f>IF(AND(E351="",F351=""),"",IF(OR(E351="",F351=""),"falta dato",E351*F351))</f>
      </c>
      <c r="H351" s="20"/>
      <c r="I351" s="16">
        <f>IF(G351="","",IF(ISNUMBER(G351),G351-IF(H351="",0,H351),"falta dato"))</f>
      </c>
    </row>
    <row r="352" spans="1:9" x14ac:dyDescent="0.25">
      <c r="A352" s="17"/>
      <c r="B352" s="18"/>
      <c r="C352" s="18"/>
      <c r="D352" s="22"/>
      <c r="E352" s="19"/>
      <c r="F352" s="20"/>
      <c r="G352" s="16">
        <f>IF(AND(E352="",F352=""),"",IF(OR(E352="",F352=""),"falta dato",E352*F352))</f>
      </c>
      <c r="H352" s="20"/>
      <c r="I352" s="16">
        <f>IF(G352="","",IF(ISNUMBER(G352),G352-IF(H352="",0,H352),"falta dato"))</f>
      </c>
    </row>
    <row r="353" spans="1:9" x14ac:dyDescent="0.25">
      <c r="A353" s="17"/>
      <c r="B353" s="18"/>
      <c r="C353" s="18"/>
      <c r="D353" s="22"/>
      <c r="E353" s="19"/>
      <c r="F353" s="20"/>
      <c r="G353" s="16">
        <f>IF(AND(E353="",F353=""),"",IF(OR(E353="",F353=""),"falta dato",E353*F353))</f>
      </c>
      <c r="H353" s="20"/>
      <c r="I353" s="16">
        <f>IF(G353="","",IF(ISNUMBER(G353),G353-IF(H353="",0,H353),"falta dato"))</f>
      </c>
    </row>
    <row r="354" spans="1:9" x14ac:dyDescent="0.25">
      <c r="A354" s="17"/>
      <c r="B354" s="18"/>
      <c r="C354" s="18"/>
      <c r="D354" s="22"/>
      <c r="E354" s="19"/>
      <c r="F354" s="20"/>
      <c r="G354" s="16">
        <f>IF(AND(E354="",F354=""),"",IF(OR(E354="",F354=""),"falta dato",E354*F354))</f>
      </c>
      <c r="H354" s="20"/>
      <c r="I354" s="16">
        <f>IF(G354="","",IF(ISNUMBER(G354),G354-IF(H354="",0,H354),"falta dato"))</f>
      </c>
    </row>
    <row r="355" spans="1:9" x14ac:dyDescent="0.25">
      <c r="A355" s="17"/>
      <c r="B355" s="18"/>
      <c r="C355" s="18"/>
      <c r="D355" s="22"/>
      <c r="E355" s="19"/>
      <c r="F355" s="20"/>
      <c r="G355" s="16">
        <f>IF(AND(E355="",F355=""),"",IF(OR(E355="",F355=""),"falta dato",E355*F355))</f>
      </c>
      <c r="H355" s="20"/>
      <c r="I355" s="16">
        <f>IF(G355="","",IF(ISNUMBER(G355),G355-IF(H355="",0,H355),"falta dato"))</f>
      </c>
    </row>
    <row r="356" spans="1:9" x14ac:dyDescent="0.25">
      <c r="A356" s="17"/>
      <c r="B356" s="18"/>
      <c r="C356" s="18"/>
      <c r="D356" s="22"/>
      <c r="E356" s="19"/>
      <c r="F356" s="20"/>
      <c r="G356" s="16">
        <f>IF(AND(E356="",F356=""),"",IF(OR(E356="",F356=""),"falta dato",E356*F356))</f>
      </c>
      <c r="H356" s="20"/>
      <c r="I356" s="16">
        <f>IF(G356="","",IF(ISNUMBER(G356),G356-IF(H356="",0,H356),"falta dato"))</f>
      </c>
    </row>
    <row r="357" spans="1:9" x14ac:dyDescent="0.25">
      <c r="A357" s="17"/>
      <c r="B357" s="18"/>
      <c r="C357" s="18"/>
      <c r="D357" s="22"/>
      <c r="E357" s="19"/>
      <c r="F357" s="20"/>
      <c r="G357" s="16">
        <f>IF(AND(E357="",F357=""),"",IF(OR(E357="",F357=""),"falta dato",E357*F357))</f>
      </c>
      <c r="H357" s="20"/>
      <c r="I357" s="16">
        <f>IF(G357="","",IF(ISNUMBER(G357),G357-IF(H357="",0,H357),"falta dato"))</f>
      </c>
    </row>
    <row r="358" spans="1:9" x14ac:dyDescent="0.25">
      <c r="A358" s="17"/>
      <c r="B358" s="18"/>
      <c r="C358" s="18"/>
      <c r="D358" s="22"/>
      <c r="E358" s="19"/>
      <c r="F358" s="20"/>
      <c r="G358" s="16">
        <f>IF(AND(E358="",F358=""),"",IF(OR(E358="",F358=""),"falta dato",E358*F358))</f>
      </c>
      <c r="H358" s="20"/>
      <c r="I358" s="16">
        <f>IF(G358="","",IF(ISNUMBER(G358),G358-IF(H358="",0,H358),"falta dato"))</f>
      </c>
    </row>
    <row r="359" spans="1:9" x14ac:dyDescent="0.25">
      <c r="A359" s="17"/>
      <c r="B359" s="18"/>
      <c r="C359" s="18"/>
      <c r="D359" s="22"/>
      <c r="E359" s="19"/>
      <c r="F359" s="20"/>
      <c r="G359" s="16">
        <f>IF(AND(E359="",F359=""),"",IF(OR(E359="",F359=""),"falta dato",E359*F359))</f>
      </c>
      <c r="H359" s="20"/>
      <c r="I359" s="16">
        <f>IF(G359="","",IF(ISNUMBER(G359),G359-IF(H359="",0,H359),"falta dato"))</f>
      </c>
    </row>
    <row r="360" spans="1:9" x14ac:dyDescent="0.25">
      <c r="A360" s="17"/>
      <c r="B360" s="18"/>
      <c r="C360" s="18"/>
      <c r="D360" s="22"/>
      <c r="E360" s="19"/>
      <c r="F360" s="20"/>
      <c r="G360" s="16">
        <f>IF(AND(E360="",F360=""),"",IF(OR(E360="",F360=""),"falta dato",E360*F360))</f>
      </c>
      <c r="H360" s="20"/>
      <c r="I360" s="16">
        <f>IF(G360="","",IF(ISNUMBER(G360),G360-IF(H360="",0,H360),"falta dato"))</f>
      </c>
    </row>
    <row r="361" spans="1:9" x14ac:dyDescent="0.25">
      <c r="A361" s="17"/>
      <c r="B361" s="18"/>
      <c r="C361" s="18"/>
      <c r="D361" s="22"/>
      <c r="E361" s="19"/>
      <c r="F361" s="20"/>
      <c r="G361" s="16">
        <f>IF(AND(E361="",F361=""),"",IF(OR(E361="",F361=""),"falta dato",E361*F361))</f>
      </c>
      <c r="H361" s="20"/>
      <c r="I361" s="16">
        <f>IF(G361="","",IF(ISNUMBER(G361),G361-IF(H361="",0,H361),"falta dato"))</f>
      </c>
    </row>
    <row r="362" spans="1:9" x14ac:dyDescent="0.25">
      <c r="A362" s="17"/>
      <c r="B362" s="18"/>
      <c r="C362" s="18"/>
      <c r="D362" s="22"/>
      <c r="E362" s="19"/>
      <c r="F362" s="20"/>
      <c r="G362" s="16">
        <f>IF(AND(E362="",F362=""),"",IF(OR(E362="",F362=""),"falta dato",E362*F362))</f>
      </c>
      <c r="H362" s="20"/>
      <c r="I362" s="16">
        <f>IF(G362="","",IF(ISNUMBER(G362),G362-IF(H362="",0,H362),"falta dato"))</f>
      </c>
    </row>
    <row r="363" spans="1:9" x14ac:dyDescent="0.25">
      <c r="A363" s="17"/>
      <c r="B363" s="18"/>
      <c r="C363" s="18"/>
      <c r="D363" s="22"/>
      <c r="E363" s="19"/>
      <c r="F363" s="20"/>
      <c r="G363" s="16">
        <f>IF(AND(E363="",F363=""),"",IF(OR(E363="",F363=""),"falta dato",E363*F363))</f>
      </c>
      <c r="H363" s="20"/>
      <c r="I363" s="16">
        <f>IF(G363="","",IF(ISNUMBER(G363),G363-IF(H363="",0,H363),"falta dato"))</f>
      </c>
    </row>
    <row r="364" spans="1:9" x14ac:dyDescent="0.25">
      <c r="A364" s="17"/>
      <c r="B364" s="18"/>
      <c r="C364" s="18"/>
      <c r="D364" s="22"/>
      <c r="E364" s="19"/>
      <c r="F364" s="20"/>
      <c r="G364" s="16">
        <f>IF(AND(E364="",F364=""),"",IF(OR(E364="",F364=""),"falta dato",E364*F364))</f>
      </c>
      <c r="H364" s="20"/>
      <c r="I364" s="16">
        <f>IF(G364="","",IF(ISNUMBER(G364),G364-IF(H364="",0,H364),"falta dato"))</f>
      </c>
    </row>
    <row r="365" spans="1:9" x14ac:dyDescent="0.25">
      <c r="A365" s="17"/>
      <c r="B365" s="18"/>
      <c r="C365" s="18"/>
      <c r="D365" s="22"/>
      <c r="E365" s="19"/>
      <c r="F365" s="20"/>
      <c r="G365" s="16">
        <f>IF(AND(E365="",F365=""),"",IF(OR(E365="",F365=""),"falta dato",E365*F365))</f>
      </c>
      <c r="H365" s="20"/>
      <c r="I365" s="16">
        <f>IF(G365="","",IF(ISNUMBER(G365),G365-IF(H365="",0,H365),"falta dato"))</f>
      </c>
    </row>
    <row r="366" spans="1:9" x14ac:dyDescent="0.25">
      <c r="A366" s="17"/>
      <c r="B366" s="18"/>
      <c r="C366" s="18"/>
      <c r="D366" s="22"/>
      <c r="E366" s="19"/>
      <c r="F366" s="20"/>
      <c r="G366" s="16">
        <f>IF(AND(E366="",F366=""),"",IF(OR(E366="",F366=""),"falta dato",E366*F366))</f>
      </c>
      <c r="H366" s="20"/>
      <c r="I366" s="16">
        <f>IF(G366="","",IF(ISNUMBER(G366),G366-IF(H366="",0,H366),"falta dato"))</f>
      </c>
    </row>
    <row r="367" spans="1:9" x14ac:dyDescent="0.25">
      <c r="A367" s="17"/>
      <c r="B367" s="18"/>
      <c r="C367" s="18"/>
      <c r="D367" s="22"/>
      <c r="E367" s="19"/>
      <c r="F367" s="20"/>
      <c r="G367" s="16">
        <f>IF(AND(E367="",F367=""),"",IF(OR(E367="",F367=""),"falta dato",E367*F367))</f>
      </c>
      <c r="H367" s="20"/>
      <c r="I367" s="16">
        <f>IF(G367="","",IF(ISNUMBER(G367),G367-IF(H367="",0,H367),"falta dato"))</f>
      </c>
    </row>
    <row r="368" spans="1:9" x14ac:dyDescent="0.25">
      <c r="A368" s="17"/>
      <c r="B368" s="18"/>
      <c r="C368" s="18"/>
      <c r="D368" s="22"/>
      <c r="E368" s="19"/>
      <c r="F368" s="20"/>
      <c r="G368" s="16">
        <f>IF(AND(E368="",F368=""),"",IF(OR(E368="",F368=""),"falta dato",E368*F368))</f>
      </c>
      <c r="H368" s="20"/>
      <c r="I368" s="16">
        <f>IF(G368="","",IF(ISNUMBER(G368),G368-IF(H368="",0,H368),"falta dato"))</f>
      </c>
    </row>
    <row r="369" spans="1:9" x14ac:dyDescent="0.25">
      <c r="A369" s="17"/>
      <c r="B369" s="18"/>
      <c r="C369" s="18"/>
      <c r="D369" s="22"/>
      <c r="E369" s="19"/>
      <c r="F369" s="20"/>
      <c r="G369" s="16">
        <f>IF(AND(E369="",F369=""),"",IF(OR(E369="",F369=""),"falta dato",E369*F369))</f>
      </c>
      <c r="H369" s="20"/>
      <c r="I369" s="16">
        <f>IF(G369="","",IF(ISNUMBER(G369),G369-IF(H369="",0,H369),"falta dato"))</f>
      </c>
    </row>
    <row r="370" spans="1:9" x14ac:dyDescent="0.25">
      <c r="A370" s="17"/>
      <c r="B370" s="18"/>
      <c r="C370" s="18"/>
      <c r="D370" s="22"/>
      <c r="E370" s="19"/>
      <c r="F370" s="20"/>
      <c r="G370" s="16">
        <f>IF(AND(E370="",F370=""),"",IF(OR(E370="",F370=""),"falta dato",E370*F370))</f>
      </c>
      <c r="H370" s="20"/>
      <c r="I370" s="16">
        <f>IF(G370="","",IF(ISNUMBER(G370),G370-IF(H370="",0,H370),"falta dato"))</f>
      </c>
    </row>
    <row r="371" spans="1:9" x14ac:dyDescent="0.25">
      <c r="A371" s="17"/>
      <c r="B371" s="18"/>
      <c r="C371" s="18"/>
      <c r="D371" s="22"/>
      <c r="E371" s="19"/>
      <c r="F371" s="20"/>
      <c r="G371" s="16">
        <f>IF(AND(E371="",F371=""),"",IF(OR(E371="",F371=""),"falta dato",E371*F371))</f>
      </c>
      <c r="H371" s="20"/>
      <c r="I371" s="16">
        <f>IF(G371="","",IF(ISNUMBER(G371),G371-IF(H371="",0,H371),"falta dato"))</f>
      </c>
    </row>
    <row r="372" spans="1:9" x14ac:dyDescent="0.25">
      <c r="A372" s="17"/>
      <c r="B372" s="18"/>
      <c r="C372" s="18"/>
      <c r="D372" s="22"/>
      <c r="E372" s="19"/>
      <c r="F372" s="20"/>
      <c r="G372" s="16">
        <f>IF(AND(E372="",F372=""),"",IF(OR(E372="",F372=""),"falta dato",E372*F372))</f>
      </c>
      <c r="H372" s="20"/>
      <c r="I372" s="16">
        <f>IF(G372="","",IF(ISNUMBER(G372),G372-IF(H372="",0,H372),"falta dato"))</f>
      </c>
    </row>
    <row r="373" spans="1:9" x14ac:dyDescent="0.25">
      <c r="A373" s="17"/>
      <c r="B373" s="18"/>
      <c r="C373" s="18"/>
      <c r="D373" s="22"/>
      <c r="E373" s="19"/>
      <c r="F373" s="20"/>
      <c r="G373" s="16">
        <f>IF(AND(E373="",F373=""),"",IF(OR(E373="",F373=""),"falta dato",E373*F373))</f>
      </c>
      <c r="H373" s="20"/>
      <c r="I373" s="16">
        <f>IF(G373="","",IF(ISNUMBER(G373),G373-IF(H373="",0,H373),"falta dato"))</f>
      </c>
    </row>
    <row r="374" spans="1:9" x14ac:dyDescent="0.25">
      <c r="A374" s="17"/>
      <c r="B374" s="18"/>
      <c r="C374" s="18"/>
      <c r="D374" s="22"/>
      <c r="E374" s="19"/>
      <c r="F374" s="20"/>
      <c r="G374" s="16">
        <f>IF(AND(E374="",F374=""),"",IF(OR(E374="",F374=""),"falta dato",E374*F374))</f>
      </c>
      <c r="H374" s="20"/>
      <c r="I374" s="16">
        <f>IF(G374="","",IF(ISNUMBER(G374),G374-IF(H374="",0,H374),"falta dato"))</f>
      </c>
    </row>
    <row r="375" spans="1:9" x14ac:dyDescent="0.25">
      <c r="A375" s="17"/>
      <c r="B375" s="18"/>
      <c r="C375" s="18"/>
      <c r="D375" s="22"/>
      <c r="E375" s="19"/>
      <c r="F375" s="20"/>
      <c r="G375" s="16">
        <f>IF(AND(E375="",F375=""),"",IF(OR(E375="",F375=""),"falta dato",E375*F375))</f>
      </c>
      <c r="H375" s="20"/>
      <c r="I375" s="16">
        <f>IF(G375="","",IF(ISNUMBER(G375),G375-IF(H375="",0,H375),"falta dato"))</f>
      </c>
    </row>
    <row r="376" spans="1:9" x14ac:dyDescent="0.25">
      <c r="A376" s="17"/>
      <c r="B376" s="18"/>
      <c r="C376" s="18"/>
      <c r="D376" s="22"/>
      <c r="E376" s="19"/>
      <c r="F376" s="20"/>
      <c r="G376" s="16">
        <f>IF(AND(E376="",F376=""),"",IF(OR(E376="",F376=""),"falta dato",E376*F376))</f>
      </c>
      <c r="H376" s="20"/>
      <c r="I376" s="16">
        <f>IF(G376="","",IF(ISNUMBER(G376),G376-IF(H376="",0,H376),"falta dato"))</f>
      </c>
    </row>
    <row r="377" spans="1:9" x14ac:dyDescent="0.25">
      <c r="A377" s="17"/>
      <c r="B377" s="18"/>
      <c r="C377" s="18"/>
      <c r="D377" s="22"/>
      <c r="E377" s="19"/>
      <c r="F377" s="20"/>
      <c r="G377" s="16">
        <f>IF(AND(E377="",F377=""),"",IF(OR(E377="",F377=""),"falta dato",E377*F377))</f>
      </c>
      <c r="H377" s="20"/>
      <c r="I377" s="16">
        <f>IF(G377="","",IF(ISNUMBER(G377),G377-IF(H377="",0,H377),"falta dato"))</f>
      </c>
    </row>
    <row r="378" spans="1:9" x14ac:dyDescent="0.25">
      <c r="A378" s="17"/>
      <c r="B378" s="18"/>
      <c r="C378" s="18"/>
      <c r="D378" s="22"/>
      <c r="E378" s="19"/>
      <c r="F378" s="20"/>
      <c r="G378" s="16">
        <f>IF(AND(E378="",F378=""),"",IF(OR(E378="",F378=""),"falta dato",E378*F378))</f>
      </c>
      <c r="H378" s="20"/>
      <c r="I378" s="16">
        <f>IF(G378="","",IF(ISNUMBER(G378),G378-IF(H378="",0,H378),"falta dato"))</f>
      </c>
    </row>
    <row r="379" spans="1:9" x14ac:dyDescent="0.25">
      <c r="A379" s="17"/>
      <c r="B379" s="18"/>
      <c r="C379" s="18"/>
      <c r="D379" s="22"/>
      <c r="E379" s="19"/>
      <c r="F379" s="20"/>
      <c r="G379" s="16">
        <f>IF(AND(E379="",F379=""),"",IF(OR(E379="",F379=""),"falta dato",E379*F379))</f>
      </c>
      <c r="H379" s="20"/>
      <c r="I379" s="16">
        <f>IF(G379="","",IF(ISNUMBER(G379),G379-IF(H379="",0,H379),"falta dato"))</f>
      </c>
    </row>
    <row r="380" spans="1:9" x14ac:dyDescent="0.25">
      <c r="A380" s="17"/>
      <c r="B380" s="18"/>
      <c r="C380" s="18"/>
      <c r="D380" s="22"/>
      <c r="E380" s="19"/>
      <c r="F380" s="20"/>
      <c r="G380" s="16">
        <f>IF(AND(E380="",F380=""),"",IF(OR(E380="",F380=""),"falta dato",E380*F380))</f>
      </c>
      <c r="H380" s="20"/>
      <c r="I380" s="16">
        <f>IF(G380="","",IF(ISNUMBER(G380),G380-IF(H380="",0,H380),"falta dato"))</f>
      </c>
    </row>
    <row r="381" spans="1:9" x14ac:dyDescent="0.25">
      <c r="A381" s="17"/>
      <c r="B381" s="18"/>
      <c r="C381" s="18"/>
      <c r="D381" s="22"/>
      <c r="E381" s="19"/>
      <c r="F381" s="20"/>
      <c r="G381" s="16">
        <f>IF(AND(E381="",F381=""),"",IF(OR(E381="",F381=""),"falta dato",E381*F381))</f>
      </c>
      <c r="H381" s="20"/>
      <c r="I381" s="16">
        <f>IF(G381="","",IF(ISNUMBER(G381),G381-IF(H381="",0,H381),"falta dato"))</f>
      </c>
    </row>
    <row r="382" spans="1:9" x14ac:dyDescent="0.25">
      <c r="A382" s="17"/>
      <c r="B382" s="18"/>
      <c r="C382" s="18"/>
      <c r="D382" s="22"/>
      <c r="E382" s="19"/>
      <c r="F382" s="20"/>
      <c r="G382" s="16">
        <f>IF(AND(E382="",F382=""),"",IF(OR(E382="",F382=""),"falta dato",E382*F382))</f>
      </c>
      <c r="H382" s="20"/>
      <c r="I382" s="16">
        <f>IF(G382="","",IF(ISNUMBER(G382),G382-IF(H382="",0,H382),"falta dato"))</f>
      </c>
    </row>
    <row r="383" spans="1:9" x14ac:dyDescent="0.25">
      <c r="A383" s="17"/>
      <c r="B383" s="18"/>
      <c r="C383" s="18"/>
      <c r="D383" s="22"/>
      <c r="E383" s="19"/>
      <c r="F383" s="20"/>
      <c r="G383" s="16">
        <f>IF(AND(E383="",F383=""),"",IF(OR(E383="",F383=""),"falta dato",E383*F383))</f>
      </c>
      <c r="H383" s="20"/>
      <c r="I383" s="16">
        <f>IF(G383="","",IF(ISNUMBER(G383),G383-IF(H383="",0,H383),"falta dato"))</f>
      </c>
    </row>
    <row r="384" spans="1:9" x14ac:dyDescent="0.25">
      <c r="A384" s="17"/>
      <c r="B384" s="18"/>
      <c r="C384" s="18"/>
      <c r="D384" s="22"/>
      <c r="E384" s="19"/>
      <c r="F384" s="20"/>
      <c r="G384" s="16">
        <f>IF(AND(E384="",F384=""),"",IF(OR(E384="",F384=""),"falta dato",E384*F384))</f>
      </c>
      <c r="H384" s="20"/>
      <c r="I384" s="16">
        <f>IF(G384="","",IF(ISNUMBER(G384),G384-IF(H384="",0,H384),"falta dato"))</f>
      </c>
    </row>
    <row r="385" spans="1:9" x14ac:dyDescent="0.25">
      <c r="A385" s="17"/>
      <c r="B385" s="18"/>
      <c r="C385" s="18"/>
      <c r="D385" s="22"/>
      <c r="E385" s="19"/>
      <c r="F385" s="20"/>
      <c r="G385" s="16">
        <f>IF(AND(E385="",F385=""),"",IF(OR(E385="",F385=""),"falta dato",E385*F385))</f>
      </c>
      <c r="H385" s="20"/>
      <c r="I385" s="16">
        <f>IF(G385="","",IF(ISNUMBER(G385),G385-IF(H385="",0,H385),"falta dato"))</f>
      </c>
    </row>
    <row r="386" spans="1:9" x14ac:dyDescent="0.25">
      <c r="A386" s="17"/>
      <c r="B386" s="18"/>
      <c r="C386" s="18"/>
      <c r="D386" s="22"/>
      <c r="E386" s="19"/>
      <c r="F386" s="20"/>
      <c r="G386" s="16">
        <f>IF(AND(E386="",F386=""),"",IF(OR(E386="",F386=""),"falta dato",E386*F386))</f>
      </c>
      <c r="H386" s="20"/>
      <c r="I386" s="16">
        <f>IF(G386="","",IF(ISNUMBER(G386),G386-IF(H386="",0,H386),"falta dato"))</f>
      </c>
    </row>
    <row r="387" spans="1:9" x14ac:dyDescent="0.25">
      <c r="A387" s="17"/>
      <c r="B387" s="18"/>
      <c r="C387" s="18"/>
      <c r="D387" s="22"/>
      <c r="E387" s="19"/>
      <c r="F387" s="20"/>
      <c r="G387" s="16">
        <f>IF(AND(E387="",F387=""),"",IF(OR(E387="",F387=""),"falta dato",E387*F387))</f>
      </c>
      <c r="H387" s="20"/>
      <c r="I387" s="16">
        <f>IF(G387="","",IF(ISNUMBER(G387),G387-IF(H387="",0,H387),"falta dato"))</f>
      </c>
    </row>
    <row r="388" spans="1:9" x14ac:dyDescent="0.25">
      <c r="A388" s="17"/>
      <c r="B388" s="18"/>
      <c r="C388" s="18"/>
      <c r="D388" s="22"/>
      <c r="E388" s="19"/>
      <c r="F388" s="20"/>
      <c r="G388" s="16">
        <f>IF(AND(E388="",F388=""),"",IF(OR(E388="",F388=""),"falta dato",E388*F388))</f>
      </c>
      <c r="H388" s="20"/>
      <c r="I388" s="16">
        <f>IF(G388="","",IF(ISNUMBER(G388),G388-IF(H388="",0,H388),"falta dato"))</f>
      </c>
    </row>
    <row r="389" spans="1:9" x14ac:dyDescent="0.25">
      <c r="A389" s="17"/>
      <c r="B389" s="18"/>
      <c r="C389" s="18"/>
      <c r="D389" s="22"/>
      <c r="E389" s="19"/>
      <c r="F389" s="20"/>
      <c r="G389" s="16">
        <f>IF(AND(E389="",F389=""),"",IF(OR(E389="",F389=""),"falta dato",E389*F389))</f>
      </c>
      <c r="H389" s="20"/>
      <c r="I389" s="16">
        <f>IF(G389="","",IF(ISNUMBER(G389),G389-IF(H389="",0,H389),"falta dato"))</f>
      </c>
    </row>
    <row r="390" spans="1:9" x14ac:dyDescent="0.25">
      <c r="A390" s="17"/>
      <c r="B390" s="18"/>
      <c r="C390" s="18"/>
      <c r="D390" s="22"/>
      <c r="E390" s="19"/>
      <c r="F390" s="20"/>
      <c r="G390" s="16">
        <f>IF(AND(E390="",F390=""),"",IF(OR(E390="",F390=""),"falta dato",E390*F390))</f>
      </c>
      <c r="H390" s="20"/>
      <c r="I390" s="16">
        <f>IF(G390="","",IF(ISNUMBER(G390),G390-IF(H390="",0,H390),"falta dato"))</f>
      </c>
    </row>
    <row r="391" spans="1:9" x14ac:dyDescent="0.25">
      <c r="A391" s="17"/>
      <c r="B391" s="18"/>
      <c r="C391" s="18"/>
      <c r="D391" s="22"/>
      <c r="E391" s="19"/>
      <c r="F391" s="20"/>
      <c r="G391" s="16">
        <f>IF(AND(E391="",F391=""),"",IF(OR(E391="",F391=""),"falta dato",E391*F391))</f>
      </c>
      <c r="H391" s="20"/>
      <c r="I391" s="16">
        <f>IF(G391="","",IF(ISNUMBER(G391),G391-IF(H391="",0,H391),"falta dato"))</f>
      </c>
    </row>
    <row r="392" spans="1:9" x14ac:dyDescent="0.25">
      <c r="A392" s="17"/>
      <c r="B392" s="18"/>
      <c r="C392" s="18"/>
      <c r="D392" s="22"/>
      <c r="E392" s="19"/>
      <c r="F392" s="20"/>
      <c r="G392" s="16">
        <f>IF(AND(E392="",F392=""),"",IF(OR(E392="",F392=""),"falta dato",E392*F392))</f>
      </c>
      <c r="H392" s="20"/>
      <c r="I392" s="16">
        <f>IF(G392="","",IF(ISNUMBER(G392),G392-IF(H392="",0,H392),"falta dato"))</f>
      </c>
    </row>
    <row r="393" spans="1:9" x14ac:dyDescent="0.25">
      <c r="A393" s="17"/>
      <c r="B393" s="18"/>
      <c r="C393" s="18"/>
      <c r="D393" s="22"/>
      <c r="E393" s="19"/>
      <c r="F393" s="20"/>
      <c r="G393" s="16">
        <f>IF(AND(E393="",F393=""),"",IF(OR(E393="",F393=""),"falta dato",E393*F393))</f>
      </c>
      <c r="H393" s="20"/>
      <c r="I393" s="16">
        <f>IF(G393="","",IF(ISNUMBER(G393),G393-IF(H393="",0,H393),"falta dato"))</f>
      </c>
    </row>
    <row r="394" spans="1:9" x14ac:dyDescent="0.25">
      <c r="A394" s="17"/>
      <c r="B394" s="18"/>
      <c r="C394" s="18"/>
      <c r="D394" s="22"/>
      <c r="E394" s="19"/>
      <c r="F394" s="20"/>
      <c r="G394" s="16">
        <f>IF(AND(E394="",F394=""),"",IF(OR(E394="",F394=""),"falta dato",E394*F394))</f>
      </c>
      <c r="H394" s="20"/>
      <c r="I394" s="16">
        <f>IF(G394="","",IF(ISNUMBER(G394),G394-IF(H394="",0,H394),"falta dato"))</f>
      </c>
    </row>
    <row r="395" spans="1:9" x14ac:dyDescent="0.25">
      <c r="A395" s="17"/>
      <c r="B395" s="18"/>
      <c r="C395" s="18"/>
      <c r="D395" s="22"/>
      <c r="E395" s="19"/>
      <c r="F395" s="20"/>
      <c r="G395" s="16">
        <f>IF(AND(E395="",F395=""),"",IF(OR(E395="",F395=""),"falta dato",E395*F395))</f>
      </c>
      <c r="H395" s="20"/>
      <c r="I395" s="16">
        <f>IF(G395="","",IF(ISNUMBER(G395),G395-IF(H395="",0,H395),"falta dato"))</f>
      </c>
    </row>
    <row r="396" spans="1:9" x14ac:dyDescent="0.25">
      <c r="A396" s="17"/>
      <c r="B396" s="18"/>
      <c r="C396" s="18"/>
      <c r="D396" s="22"/>
      <c r="E396" s="19"/>
      <c r="F396" s="20"/>
      <c r="G396" s="16">
        <f>IF(AND(E396="",F396=""),"",IF(OR(E396="",F396=""),"falta dato",E396*F396))</f>
      </c>
      <c r="H396" s="20"/>
      <c r="I396" s="16">
        <f>IF(G396="","",IF(ISNUMBER(G396),G396-IF(H396="",0,H396),"falta dato"))</f>
      </c>
    </row>
    <row r="397" spans="1:9" x14ac:dyDescent="0.25">
      <c r="A397" s="17"/>
      <c r="B397" s="18"/>
      <c r="C397" s="18"/>
      <c r="D397" s="22"/>
      <c r="E397" s="19"/>
      <c r="F397" s="20"/>
      <c r="G397" s="16">
        <f>IF(AND(E397="",F397=""),"",IF(OR(E397="",F397=""),"falta dato",E397*F397))</f>
      </c>
      <c r="H397" s="20"/>
      <c r="I397" s="16">
        <f>IF(G397="","",IF(ISNUMBER(G397),G397-IF(H397="",0,H397),"falta dato"))</f>
      </c>
    </row>
    <row r="398" spans="1:9" x14ac:dyDescent="0.25">
      <c r="A398" s="17"/>
      <c r="B398" s="18"/>
      <c r="C398" s="18"/>
      <c r="D398" s="22"/>
      <c r="E398" s="19"/>
      <c r="F398" s="20"/>
      <c r="G398" s="16">
        <f>IF(AND(E398="",F398=""),"",IF(OR(E398="",F398=""),"falta dato",E398*F398))</f>
      </c>
      <c r="H398" s="20"/>
      <c r="I398" s="16">
        <f>IF(G398="","",IF(ISNUMBER(G398),G398-IF(H398="",0,H398),"falta dato"))</f>
      </c>
    </row>
    <row r="399" spans="1:9" x14ac:dyDescent="0.25">
      <c r="A399" s="17"/>
      <c r="B399" s="18"/>
      <c r="C399" s="18"/>
      <c r="D399" s="22"/>
      <c r="E399" s="19"/>
      <c r="F399" s="20"/>
      <c r="G399" s="16">
        <f>IF(AND(E399="",F399=""),"",IF(OR(E399="",F399=""),"falta dato",E399*F399))</f>
      </c>
      <c r="H399" s="20"/>
      <c r="I399" s="16">
        <f>IF(G399="","",IF(ISNUMBER(G399),G399-IF(H399="",0,H399),"falta dato"))</f>
      </c>
    </row>
    <row r="400" spans="1:9" x14ac:dyDescent="0.25">
      <c r="A400" s="17"/>
      <c r="B400" s="18"/>
      <c r="C400" s="18"/>
      <c r="D400" s="22"/>
      <c r="E400" s="19"/>
      <c r="F400" s="20"/>
      <c r="G400" s="16">
        <f>IF(AND(E400="",F400=""),"",IF(OR(E400="",F400=""),"falta dato",E400*F400))</f>
      </c>
      <c r="H400" s="20"/>
      <c r="I400" s="16">
        <f>IF(G400="","",IF(ISNUMBER(G400),G400-IF(H400="",0,H400),"falta dato"))</f>
      </c>
    </row>
    <row r="401" spans="1:9" x14ac:dyDescent="0.25">
      <c r="A401" s="17"/>
      <c r="B401" s="18"/>
      <c r="C401" s="18"/>
      <c r="D401" s="22"/>
      <c r="E401" s="19"/>
      <c r="F401" s="20"/>
      <c r="G401" s="16">
        <f>IF(AND(E401="",F401=""),"",IF(OR(E401="",F401=""),"falta dato",E401*F401))</f>
      </c>
      <c r="H401" s="20"/>
      <c r="I401" s="16">
        <f>IF(G401="","",IF(ISNUMBER(G401),G401-IF(H401="",0,H401),"falta dato"))</f>
      </c>
    </row>
    <row r="402" spans="1:9" x14ac:dyDescent="0.25">
      <c r="A402" s="17"/>
      <c r="B402" s="18"/>
      <c r="C402" s="18"/>
      <c r="D402" s="22"/>
      <c r="E402" s="19"/>
      <c r="F402" s="20"/>
      <c r="G402" s="16">
        <f>IF(AND(E402="",F402=""),"",IF(OR(E402="",F402=""),"falta dato",E402*F402))</f>
      </c>
      <c r="H402" s="20"/>
      <c r="I402" s="16">
        <f>IF(G402="","",IF(ISNUMBER(G402),G402-IF(H402="",0,H402),"falta dato"))</f>
      </c>
    </row>
    <row r="403" spans="1:9" x14ac:dyDescent="0.25">
      <c r="A403" s="17"/>
      <c r="B403" s="18"/>
      <c r="C403" s="18"/>
      <c r="D403" s="22"/>
      <c r="E403" s="19"/>
      <c r="F403" s="20"/>
      <c r="G403" s="16">
        <f>IF(AND(E403="",F403=""),"",IF(OR(E403="",F403=""),"falta dato",E403*F403))</f>
      </c>
      <c r="H403" s="20"/>
      <c r="I403" s="16">
        <f>IF(G403="","",IF(ISNUMBER(G403),G403-IF(H403="",0,H403),"falta dato"))</f>
      </c>
    </row>
    <row r="404" spans="1:9" x14ac:dyDescent="0.25">
      <c r="A404" s="17"/>
      <c r="B404" s="18"/>
      <c r="C404" s="18"/>
      <c r="D404" s="22"/>
      <c r="E404" s="19"/>
      <c r="F404" s="20"/>
      <c r="G404" s="16">
        <f>IF(AND(E404="",F404=""),"",IF(OR(E404="",F404=""),"falta dato",E404*F404))</f>
      </c>
      <c r="H404" s="20"/>
      <c r="I404" s="16">
        <f>IF(G404="","",IF(ISNUMBER(G404),G404-IF(H404="",0,H404),"falta dato"))</f>
      </c>
    </row>
    <row r="405" spans="1:9" x14ac:dyDescent="0.25">
      <c r="A405" s="17"/>
      <c r="B405" s="18"/>
      <c r="C405" s="18"/>
      <c r="D405" s="22"/>
      <c r="E405" s="19"/>
      <c r="F405" s="20"/>
      <c r="G405" s="16">
        <f>IF(AND(E405="",F405=""),"",IF(OR(E405="",F405=""),"falta dato",E405*F405))</f>
      </c>
      <c r="H405" s="20"/>
      <c r="I405" s="16">
        <f>IF(G405="","",IF(ISNUMBER(G405),G405-IF(H405="",0,H405),"falta dato"))</f>
      </c>
    </row>
    <row r="406" spans="1:9" x14ac:dyDescent="0.25">
      <c r="A406" s="17"/>
      <c r="B406" s="18"/>
      <c r="C406" s="18"/>
      <c r="D406" s="22"/>
      <c r="E406" s="19"/>
      <c r="F406" s="20"/>
      <c r="G406" s="16">
        <f>IF(AND(E406="",F406=""),"",IF(OR(E406="",F406=""),"falta dato",E406*F406))</f>
      </c>
      <c r="H406" s="20"/>
      <c r="I406" s="16">
        <f>IF(G406="","",IF(ISNUMBER(G406),G406-IF(H406="",0,H406),"falta dato"))</f>
      </c>
    </row>
    <row r="407" spans="1:9" x14ac:dyDescent="0.25">
      <c r="A407" s="17"/>
      <c r="B407" s="18"/>
      <c r="C407" s="18"/>
      <c r="D407" s="22"/>
      <c r="E407" s="19"/>
      <c r="F407" s="20"/>
      <c r="G407" s="16">
        <f>IF(AND(E407="",F407=""),"",IF(OR(E407="",F407=""),"falta dato",E407*F407))</f>
      </c>
      <c r="H407" s="20"/>
      <c r="I407" s="16">
        <f>IF(G407="","",IF(ISNUMBER(G407),G407-IF(H407="",0,H407),"falta dato"))</f>
      </c>
    </row>
    <row r="408" spans="1:9" x14ac:dyDescent="0.25">
      <c r="A408" s="17"/>
      <c r="B408" s="18"/>
      <c r="C408" s="18"/>
      <c r="D408" s="22"/>
      <c r="E408" s="19"/>
      <c r="F408" s="20"/>
      <c r="G408" s="16">
        <f>IF(AND(E408="",F408=""),"",IF(OR(E408="",F408=""),"falta dato",E408*F408))</f>
      </c>
      <c r="H408" s="20"/>
      <c r="I408" s="16">
        <f>IF(G408="","",IF(ISNUMBER(G408),G408-IF(H408="",0,H408),"falta dato"))</f>
      </c>
    </row>
    <row r="409" spans="1:9" x14ac:dyDescent="0.25">
      <c r="A409" s="17"/>
      <c r="B409" s="18"/>
      <c r="C409" s="18"/>
      <c r="D409" s="22"/>
      <c r="E409" s="19"/>
      <c r="F409" s="20"/>
      <c r="G409" s="16">
        <f>IF(AND(E409="",F409=""),"",IF(OR(E409="",F409=""),"falta dato",E409*F409))</f>
      </c>
      <c r="H409" s="20"/>
      <c r="I409" s="16">
        <f>IF(G409="","",IF(ISNUMBER(G409),G409-IF(H409="",0,H409),"falta dato"))</f>
      </c>
    </row>
    <row r="410" spans="1:9" x14ac:dyDescent="0.25">
      <c r="A410" s="17"/>
      <c r="B410" s="18"/>
      <c r="C410" s="18"/>
      <c r="D410" s="22"/>
      <c r="E410" s="19"/>
      <c r="F410" s="20"/>
      <c r="G410" s="16">
        <f>IF(AND(E410="",F410=""),"",IF(OR(E410="",F410=""),"falta dato",E410*F410))</f>
      </c>
      <c r="H410" s="20"/>
      <c r="I410" s="16">
        <f>IF(G410="","",IF(ISNUMBER(G410),G410-IF(H410="",0,H410),"falta dato"))</f>
      </c>
    </row>
    <row r="411" spans="1:9" x14ac:dyDescent="0.25">
      <c r="A411" s="17"/>
      <c r="B411" s="18"/>
      <c r="C411" s="18"/>
      <c r="D411" s="22"/>
      <c r="E411" s="19"/>
      <c r="F411" s="20"/>
      <c r="G411" s="16">
        <f>IF(AND(E411="",F411=""),"",IF(OR(E411="",F411=""),"falta dato",E411*F411))</f>
      </c>
      <c r="H411" s="20"/>
      <c r="I411" s="16">
        <f>IF(G411="","",IF(ISNUMBER(G411),G411-IF(H411="",0,H411),"falta dato"))</f>
      </c>
    </row>
    <row r="412" spans="1:9" x14ac:dyDescent="0.25">
      <c r="A412" s="17"/>
      <c r="B412" s="18"/>
      <c r="C412" s="18"/>
      <c r="D412" s="22"/>
      <c r="E412" s="19"/>
      <c r="F412" s="20"/>
      <c r="G412" s="16">
        <f>IF(AND(E412="",F412=""),"",IF(OR(E412="",F412=""),"falta dato",E412*F412))</f>
      </c>
      <c r="H412" s="20"/>
      <c r="I412" s="16">
        <f>IF(G412="","",IF(ISNUMBER(G412),G412-IF(H412="",0,H412),"falta dato"))</f>
      </c>
    </row>
    <row r="413" spans="1:9" x14ac:dyDescent="0.25">
      <c r="A413" s="17"/>
      <c r="B413" s="18"/>
      <c r="C413" s="18"/>
      <c r="D413" s="22"/>
      <c r="E413" s="19"/>
      <c r="F413" s="20"/>
      <c r="G413" s="16">
        <f>IF(AND(E413="",F413=""),"",IF(OR(E413="",F413=""),"falta dato",E413*F413))</f>
      </c>
      <c r="H413" s="20"/>
      <c r="I413" s="16">
        <f>IF(G413="","",IF(ISNUMBER(G413),G413-IF(H413="",0,H413),"falta dato"))</f>
      </c>
    </row>
    <row r="414" spans="1:9" x14ac:dyDescent="0.25">
      <c r="A414" s="17"/>
      <c r="B414" s="18"/>
      <c r="C414" s="18"/>
      <c r="D414" s="22"/>
      <c r="E414" s="19"/>
      <c r="F414" s="20"/>
      <c r="G414" s="16">
        <f>IF(AND(E414="",F414=""),"",IF(OR(E414="",F414=""),"falta dato",E414*F414))</f>
      </c>
      <c r="H414" s="20"/>
      <c r="I414" s="16">
        <f>IF(G414="","",IF(ISNUMBER(G414),G414-IF(H414="",0,H414),"falta dato"))</f>
      </c>
    </row>
    <row r="415" spans="1:9" x14ac:dyDescent="0.25">
      <c r="A415" s="17"/>
      <c r="B415" s="18"/>
      <c r="C415" s="18"/>
      <c r="D415" s="22"/>
      <c r="E415" s="19"/>
      <c r="F415" s="20"/>
      <c r="G415" s="16">
        <f>IF(AND(E415="",F415=""),"",IF(OR(E415="",F415=""),"falta dato",E415*F415))</f>
      </c>
      <c r="H415" s="20"/>
      <c r="I415" s="16">
        <f>IF(G415="","",IF(ISNUMBER(G415),G415-IF(H415="",0,H415),"falta dato"))</f>
      </c>
    </row>
    <row r="416" spans="1:9" x14ac:dyDescent="0.25">
      <c r="A416" s="17"/>
      <c r="B416" s="18"/>
      <c r="C416" s="18"/>
      <c r="D416" s="22"/>
      <c r="E416" s="19"/>
      <c r="F416" s="20"/>
      <c r="G416" s="16">
        <f>IF(AND(E416="",F416=""),"",IF(OR(E416="",F416=""),"falta dato",E416*F416))</f>
      </c>
      <c r="H416" s="20"/>
      <c r="I416" s="16">
        <f>IF(G416="","",IF(ISNUMBER(G416),G416-IF(H416="",0,H416),"falta dato"))</f>
      </c>
    </row>
    <row r="417" spans="1:9" x14ac:dyDescent="0.25">
      <c r="A417" s="17"/>
      <c r="B417" s="18"/>
      <c r="C417" s="18"/>
      <c r="D417" s="22"/>
      <c r="E417" s="19"/>
      <c r="F417" s="20"/>
      <c r="G417" s="16">
        <f>IF(AND(E417="",F417=""),"",IF(OR(E417="",F417=""),"falta dato",E417*F417))</f>
      </c>
      <c r="H417" s="20"/>
      <c r="I417" s="16">
        <f>IF(G417="","",IF(ISNUMBER(G417),G417-IF(H417="",0,H417),"falta dato"))</f>
      </c>
    </row>
    <row r="418" spans="1:9" x14ac:dyDescent="0.25">
      <c r="A418" s="17"/>
      <c r="B418" s="18"/>
      <c r="C418" s="18"/>
      <c r="D418" s="22"/>
      <c r="E418" s="19"/>
      <c r="F418" s="20"/>
      <c r="G418" s="16">
        <f>IF(AND(E418="",F418=""),"",IF(OR(E418="",F418=""),"falta dato",E418*F418))</f>
      </c>
      <c r="H418" s="20"/>
      <c r="I418" s="16">
        <f>IF(G418="","",IF(ISNUMBER(G418),G418-IF(H418="",0,H418),"falta dato"))</f>
      </c>
    </row>
    <row r="419" spans="1:9" x14ac:dyDescent="0.25">
      <c r="A419" s="17"/>
      <c r="B419" s="18"/>
      <c r="C419" s="18"/>
      <c r="D419" s="22"/>
      <c r="E419" s="19"/>
      <c r="F419" s="20"/>
      <c r="G419" s="16">
        <f>IF(AND(E419="",F419=""),"",IF(OR(E419="",F419=""),"falta dato",E419*F419))</f>
      </c>
      <c r="H419" s="20"/>
      <c r="I419" s="16">
        <f>IF(G419="","",IF(ISNUMBER(G419),G419-IF(H419="",0,H419),"falta dato"))</f>
      </c>
    </row>
    <row r="420" spans="1:9" x14ac:dyDescent="0.25">
      <c r="A420" s="17"/>
      <c r="B420" s="18"/>
      <c r="C420" s="18"/>
      <c r="D420" s="22"/>
      <c r="E420" s="19"/>
      <c r="F420" s="20"/>
      <c r="G420" s="16">
        <f>IF(AND(E420="",F420=""),"",IF(OR(E420="",F420=""),"falta dato",E420*F420))</f>
      </c>
      <c r="H420" s="20"/>
      <c r="I420" s="16">
        <f>IF(G420="","",IF(ISNUMBER(G420),G420-IF(H420="",0,H420),"falta dato"))</f>
      </c>
    </row>
    <row r="421" spans="1:9" x14ac:dyDescent="0.25">
      <c r="A421" s="17"/>
      <c r="B421" s="18"/>
      <c r="C421" s="18"/>
      <c r="D421" s="22"/>
      <c r="E421" s="19"/>
      <c r="F421" s="20"/>
      <c r="G421" s="16">
        <f>IF(AND(E421="",F421=""),"",IF(OR(E421="",F421=""),"falta dato",E421*F421))</f>
      </c>
      <c r="H421" s="20"/>
      <c r="I421" s="16">
        <f>IF(G421="","",IF(ISNUMBER(G421),G421-IF(H421="",0,H421),"falta dato"))</f>
      </c>
    </row>
    <row r="422" spans="1:9" x14ac:dyDescent="0.25">
      <c r="A422" s="17"/>
      <c r="B422" s="18"/>
      <c r="C422" s="18"/>
      <c r="D422" s="22"/>
      <c r="E422" s="19"/>
      <c r="F422" s="20"/>
      <c r="G422" s="16">
        <f>IF(AND(E422="",F422=""),"",IF(OR(E422="",F422=""),"falta dato",E422*F422))</f>
      </c>
      <c r="H422" s="20"/>
      <c r="I422" s="16">
        <f>IF(G422="","",IF(ISNUMBER(G422),G422-IF(H422="",0,H422),"falta dato"))</f>
      </c>
    </row>
    <row r="423" spans="1:9" x14ac:dyDescent="0.25">
      <c r="A423" s="17"/>
      <c r="B423" s="18"/>
      <c r="C423" s="18"/>
      <c r="D423" s="22"/>
      <c r="E423" s="19"/>
      <c r="F423" s="20"/>
      <c r="G423" s="16">
        <f>IF(AND(E423="",F423=""),"",IF(OR(E423="",F423=""),"falta dato",E423*F423))</f>
      </c>
      <c r="H423" s="20"/>
      <c r="I423" s="16">
        <f>IF(G423="","",IF(ISNUMBER(G423),G423-IF(H423="",0,H423),"falta dato"))</f>
      </c>
    </row>
    <row r="424" spans="1:9" x14ac:dyDescent="0.25">
      <c r="A424" s="17"/>
      <c r="B424" s="18"/>
      <c r="C424" s="18"/>
      <c r="D424" s="22"/>
      <c r="E424" s="19"/>
      <c r="F424" s="20"/>
      <c r="G424" s="16">
        <f>IF(AND(E424="",F424=""),"",IF(OR(E424="",F424=""),"falta dato",E424*F424))</f>
      </c>
      <c r="H424" s="20"/>
      <c r="I424" s="16">
        <f>IF(G424="","",IF(ISNUMBER(G424),G424-IF(H424="",0,H424),"falta dato"))</f>
      </c>
    </row>
    <row r="425" spans="1:9" x14ac:dyDescent="0.25">
      <c r="A425" s="17"/>
      <c r="B425" s="18"/>
      <c r="C425" s="18"/>
      <c r="D425" s="22"/>
      <c r="E425" s="19"/>
      <c r="F425" s="20"/>
      <c r="G425" s="16">
        <f>IF(AND(E425="",F425=""),"",IF(OR(E425="",F425=""),"falta dato",E425*F425))</f>
      </c>
      <c r="H425" s="20"/>
      <c r="I425" s="16">
        <f>IF(G425="","",IF(ISNUMBER(G425),G425-IF(H425="",0,H425),"falta dato"))</f>
      </c>
    </row>
    <row r="426" spans="1:9" x14ac:dyDescent="0.25">
      <c r="A426" s="17"/>
      <c r="B426" s="18"/>
      <c r="C426" s="18"/>
      <c r="D426" s="22"/>
      <c r="E426" s="19"/>
      <c r="F426" s="20"/>
      <c r="G426" s="16">
        <f>IF(AND(E426="",F426=""),"",IF(OR(E426="",F426=""),"falta dato",E426*F426))</f>
      </c>
      <c r="H426" s="20"/>
      <c r="I426" s="16">
        <f>IF(G426="","",IF(ISNUMBER(G426),G426-IF(H426="",0,H426),"falta dato"))</f>
      </c>
    </row>
    <row r="427" spans="1:9" x14ac:dyDescent="0.25">
      <c r="A427" s="17"/>
      <c r="B427" s="18"/>
      <c r="C427" s="18"/>
      <c r="D427" s="22"/>
      <c r="E427" s="19"/>
      <c r="F427" s="20"/>
      <c r="G427" s="16">
        <f>IF(AND(E427="",F427=""),"",IF(OR(E427="",F427=""),"falta dato",E427*F427))</f>
      </c>
      <c r="H427" s="20"/>
      <c r="I427" s="16">
        <f>IF(G427="","",IF(ISNUMBER(G427),G427-IF(H427="",0,H427),"falta dato"))</f>
      </c>
    </row>
    <row r="428" spans="1:9" x14ac:dyDescent="0.25">
      <c r="A428" s="17"/>
      <c r="B428" s="18"/>
      <c r="C428" s="18"/>
      <c r="D428" s="22"/>
      <c r="E428" s="19"/>
      <c r="F428" s="20"/>
      <c r="G428" s="16">
        <f>IF(AND(E428="",F428=""),"",IF(OR(E428="",F428=""),"falta dato",E428*F428))</f>
      </c>
      <c r="H428" s="20"/>
      <c r="I428" s="16">
        <f>IF(G428="","",IF(ISNUMBER(G428),G428-IF(H428="",0,H428),"falta dato"))</f>
      </c>
    </row>
    <row r="429" spans="1:9" x14ac:dyDescent="0.25">
      <c r="A429" s="17"/>
      <c r="B429" s="18"/>
      <c r="C429" s="18"/>
      <c r="D429" s="22"/>
      <c r="E429" s="19"/>
      <c r="F429" s="20"/>
      <c r="G429" s="16">
        <f>IF(AND(E429="",F429=""),"",IF(OR(E429="",F429=""),"falta dato",E429*F429))</f>
      </c>
      <c r="H429" s="20"/>
      <c r="I429" s="16">
        <f>IF(G429="","",IF(ISNUMBER(G429),G429-IF(H429="",0,H429),"falta dato"))</f>
      </c>
    </row>
    <row r="430" spans="1:9" x14ac:dyDescent="0.25">
      <c r="A430" s="17"/>
      <c r="B430" s="18"/>
      <c r="C430" s="18"/>
      <c r="D430" s="22"/>
      <c r="E430" s="19"/>
      <c r="F430" s="20"/>
      <c r="G430" s="16">
        <f>IF(AND(E430="",F430=""),"",IF(OR(E430="",F430=""),"falta dato",E430*F430))</f>
      </c>
      <c r="H430" s="20"/>
      <c r="I430" s="16">
        <f>IF(G430="","",IF(ISNUMBER(G430),G430-IF(H430="",0,H430),"falta dato"))</f>
      </c>
    </row>
    <row r="431" spans="1:9" x14ac:dyDescent="0.25">
      <c r="A431" s="17"/>
      <c r="B431" s="18"/>
      <c r="C431" s="18"/>
      <c r="D431" s="22"/>
      <c r="E431" s="19"/>
      <c r="F431" s="20"/>
      <c r="G431" s="16">
        <f>IF(AND(E431="",F431=""),"",IF(OR(E431="",F431=""),"falta dato",E431*F431))</f>
      </c>
      <c r="H431" s="20"/>
      <c r="I431" s="16">
        <f>IF(G431="","",IF(ISNUMBER(G431),G431-IF(H431="",0,H431),"falta dato"))</f>
      </c>
    </row>
    <row r="432" spans="1:9" x14ac:dyDescent="0.25">
      <c r="A432" s="17"/>
      <c r="B432" s="18"/>
      <c r="C432" s="18"/>
      <c r="D432" s="22"/>
      <c r="E432" s="19"/>
      <c r="F432" s="20"/>
      <c r="G432" s="16">
        <f>IF(AND(E432="",F432=""),"",IF(OR(E432="",F432=""),"falta dato",E432*F432))</f>
      </c>
      <c r="H432" s="20"/>
      <c r="I432" s="16">
        <f>IF(G432="","",IF(ISNUMBER(G432),G432-IF(H432="",0,H432),"falta dato"))</f>
      </c>
    </row>
    <row r="433" spans="1:9" x14ac:dyDescent="0.25">
      <c r="A433" s="17"/>
      <c r="B433" s="18"/>
      <c r="C433" s="18"/>
      <c r="D433" s="22"/>
      <c r="E433" s="19"/>
      <c r="F433" s="20"/>
      <c r="G433" s="16">
        <f>IF(AND(E433="",F433=""),"",IF(OR(E433="",F433=""),"falta dato",E433*F433))</f>
      </c>
      <c r="H433" s="20"/>
      <c r="I433" s="16">
        <f>IF(G433="","",IF(ISNUMBER(G433),G433-IF(H433="",0,H433),"falta dato"))</f>
      </c>
    </row>
    <row r="434" spans="1:9" x14ac:dyDescent="0.25">
      <c r="A434" s="17"/>
      <c r="B434" s="18"/>
      <c r="C434" s="18"/>
      <c r="D434" s="22"/>
      <c r="E434" s="19"/>
      <c r="F434" s="20"/>
      <c r="G434" s="16">
        <f>IF(AND(E434="",F434=""),"",IF(OR(E434="",F434=""),"falta dato",E434*F434))</f>
      </c>
      <c r="H434" s="20"/>
      <c r="I434" s="16">
        <f>IF(G434="","",IF(ISNUMBER(G434),G434-IF(H434="",0,H434),"falta dato"))</f>
      </c>
    </row>
    <row r="435" spans="1:9" x14ac:dyDescent="0.25">
      <c r="A435" s="17"/>
      <c r="B435" s="18"/>
      <c r="C435" s="18"/>
      <c r="D435" s="22"/>
      <c r="E435" s="19"/>
      <c r="F435" s="20"/>
      <c r="G435" s="16">
        <f>IF(AND(E435="",F435=""),"",IF(OR(E435="",F435=""),"falta dato",E435*F435))</f>
      </c>
      <c r="H435" s="20"/>
      <c r="I435" s="16">
        <f>IF(G435="","",IF(ISNUMBER(G435),G435-IF(H435="",0,H435),"falta dato"))</f>
      </c>
    </row>
    <row r="436" spans="1:9" x14ac:dyDescent="0.25">
      <c r="A436" s="17"/>
      <c r="B436" s="18"/>
      <c r="C436" s="18"/>
      <c r="D436" s="22"/>
      <c r="E436" s="19"/>
      <c r="F436" s="20"/>
      <c r="G436" s="16">
        <f>IF(AND(E436="",F436=""),"",IF(OR(E436="",F436=""),"falta dato",E436*F436))</f>
      </c>
      <c r="H436" s="20"/>
      <c r="I436" s="16">
        <f>IF(G436="","",IF(ISNUMBER(G436),G436-IF(H436="",0,H436),"falta dato"))</f>
      </c>
    </row>
    <row r="437" spans="1:9" x14ac:dyDescent="0.25">
      <c r="A437" s="17"/>
      <c r="B437" s="18"/>
      <c r="C437" s="18"/>
      <c r="D437" s="22"/>
      <c r="E437" s="19"/>
      <c r="F437" s="20"/>
      <c r="G437" s="16">
        <f>IF(AND(E437="",F437=""),"",IF(OR(E437="",F437=""),"falta dato",E437*F437))</f>
      </c>
      <c r="H437" s="20"/>
      <c r="I437" s="16">
        <f>IF(G437="","",IF(ISNUMBER(G437),G437-IF(H437="",0,H437),"falta dato"))</f>
      </c>
    </row>
    <row r="438" spans="1:9" x14ac:dyDescent="0.25">
      <c r="A438" s="17"/>
      <c r="B438" s="18"/>
      <c r="C438" s="18"/>
      <c r="D438" s="22"/>
      <c r="E438" s="19"/>
      <c r="F438" s="20"/>
      <c r="G438" s="16">
        <f>IF(AND(E438="",F438=""),"",IF(OR(E438="",F438=""),"falta dato",E438*F438))</f>
      </c>
      <c r="H438" s="20"/>
      <c r="I438" s="16">
        <f>IF(G438="","",IF(ISNUMBER(G438),G438-IF(H438="",0,H438),"falta dato"))</f>
      </c>
    </row>
    <row r="439" spans="1:9" x14ac:dyDescent="0.25">
      <c r="A439" s="17"/>
      <c r="B439" s="18"/>
      <c r="C439" s="18"/>
      <c r="D439" s="22"/>
      <c r="E439" s="19"/>
      <c r="F439" s="20"/>
      <c r="G439" s="16">
        <f>IF(AND(E439="",F439=""),"",IF(OR(E439="",F439=""),"falta dato",E439*F439))</f>
      </c>
      <c r="H439" s="20"/>
      <c r="I439" s="16">
        <f>IF(G439="","",IF(ISNUMBER(G439),G439-IF(H439="",0,H439),"falta dato"))</f>
      </c>
    </row>
    <row r="440" spans="1:9" x14ac:dyDescent="0.25">
      <c r="A440" s="17"/>
      <c r="B440" s="18"/>
      <c r="C440" s="18"/>
      <c r="D440" s="22"/>
      <c r="E440" s="19"/>
      <c r="F440" s="20"/>
      <c r="G440" s="16">
        <f>IF(AND(E440="",F440=""),"",IF(OR(E440="",F440=""),"falta dato",E440*F440))</f>
      </c>
      <c r="H440" s="20"/>
      <c r="I440" s="16">
        <f>IF(G440="","",IF(ISNUMBER(G440),G440-IF(H440="",0,H440),"falta dato"))</f>
      </c>
    </row>
    <row r="441" spans="1:9" x14ac:dyDescent="0.25">
      <c r="A441" s="17"/>
      <c r="B441" s="18"/>
      <c r="C441" s="18"/>
      <c r="D441" s="22"/>
      <c r="E441" s="19"/>
      <c r="F441" s="20"/>
      <c r="G441" s="16">
        <f>IF(AND(E441="",F441=""),"",IF(OR(E441="",F441=""),"falta dato",E441*F441))</f>
      </c>
      <c r="H441" s="20"/>
      <c r="I441" s="16">
        <f>IF(G441="","",IF(ISNUMBER(G441),G441-IF(H441="",0,H441),"falta dato"))</f>
      </c>
    </row>
    <row r="442" spans="1:9" x14ac:dyDescent="0.25">
      <c r="A442" s="17"/>
      <c r="B442" s="18"/>
      <c r="C442" s="18"/>
      <c r="D442" s="22"/>
      <c r="E442" s="19"/>
      <c r="F442" s="20"/>
      <c r="G442" s="16">
        <f>IF(AND(E442="",F442=""),"",IF(OR(E442="",F442=""),"falta dato",E442*F442))</f>
      </c>
      <c r="H442" s="20"/>
      <c r="I442" s="16">
        <f>IF(G442="","",IF(ISNUMBER(G442),G442-IF(H442="",0,H442),"falta dato"))</f>
      </c>
    </row>
    <row r="443" spans="1:9" x14ac:dyDescent="0.25">
      <c r="A443" s="17"/>
      <c r="B443" s="18"/>
      <c r="C443" s="18"/>
      <c r="D443" s="22"/>
      <c r="E443" s="19"/>
      <c r="F443" s="20"/>
      <c r="G443" s="16">
        <f>IF(AND(E443="",F443=""),"",IF(OR(E443="",F443=""),"falta dato",E443*F443))</f>
      </c>
      <c r="H443" s="20"/>
      <c r="I443" s="16">
        <f>IF(G443="","",IF(ISNUMBER(G443),G443-IF(H443="",0,H443),"falta dato"))</f>
      </c>
    </row>
    <row r="444" spans="1:9" x14ac:dyDescent="0.25">
      <c r="A444" s="17"/>
      <c r="B444" s="18"/>
      <c r="C444" s="18"/>
      <c r="D444" s="22"/>
      <c r="E444" s="19"/>
      <c r="F444" s="20"/>
      <c r="G444" s="16">
        <f>IF(AND(E444="",F444=""),"",IF(OR(E444="",F444=""),"falta dato",E444*F444))</f>
      </c>
      <c r="H444" s="20"/>
      <c r="I444" s="16">
        <f>IF(G444="","",IF(ISNUMBER(G444),G444-IF(H444="",0,H444),"falta dato"))</f>
      </c>
    </row>
    <row r="445" spans="1:9" x14ac:dyDescent="0.25">
      <c r="A445" s="17"/>
      <c r="B445" s="18"/>
      <c r="C445" s="18"/>
      <c r="D445" s="22"/>
      <c r="E445" s="19"/>
      <c r="F445" s="20"/>
      <c r="G445" s="16">
        <f>IF(AND(E445="",F445=""),"",IF(OR(E445="",F445=""),"falta dato",E445*F445))</f>
      </c>
      <c r="H445" s="20"/>
      <c r="I445" s="16">
        <f>IF(G445="","",IF(ISNUMBER(G445),G445-IF(H445="",0,H445),"falta dato"))</f>
      </c>
    </row>
    <row r="446" spans="1:9" x14ac:dyDescent="0.25">
      <c r="A446" s="17"/>
      <c r="B446" s="18"/>
      <c r="C446" s="18"/>
      <c r="D446" s="22"/>
      <c r="E446" s="19"/>
      <c r="F446" s="20"/>
      <c r="G446" s="16">
        <f>IF(AND(E446="",F446=""),"",IF(OR(E446="",F446=""),"falta dato",E446*F446))</f>
      </c>
      <c r="H446" s="20"/>
      <c r="I446" s="16">
        <f>IF(G446="","",IF(ISNUMBER(G446),G446-IF(H446="",0,H446),"falta dato"))</f>
      </c>
    </row>
    <row r="447" spans="1:9" x14ac:dyDescent="0.25">
      <c r="A447" s="17"/>
      <c r="B447" s="18"/>
      <c r="C447" s="18"/>
      <c r="D447" s="22"/>
      <c r="E447" s="19"/>
      <c r="F447" s="20"/>
      <c r="G447" s="16">
        <f>IF(AND(E447="",F447=""),"",IF(OR(E447="",F447=""),"falta dato",E447*F447))</f>
      </c>
      <c r="H447" s="20"/>
      <c r="I447" s="16">
        <f>IF(G447="","",IF(ISNUMBER(G447),G447-IF(H447="",0,H447),"falta dato"))</f>
      </c>
    </row>
    <row r="448" spans="1:9" x14ac:dyDescent="0.25">
      <c r="A448" s="17"/>
      <c r="B448" s="18"/>
      <c r="C448" s="18"/>
      <c r="D448" s="22"/>
      <c r="E448" s="19"/>
      <c r="F448" s="20"/>
      <c r="G448" s="16">
        <f>IF(AND(E448="",F448=""),"",IF(OR(E448="",F448=""),"falta dato",E448*F448))</f>
      </c>
      <c r="H448" s="20"/>
      <c r="I448" s="16">
        <f>IF(G448="","",IF(ISNUMBER(G448),G448-IF(H448="",0,H448),"falta dato"))</f>
      </c>
    </row>
    <row r="449" spans="1:9" x14ac:dyDescent="0.25">
      <c r="A449" s="17"/>
      <c r="B449" s="18"/>
      <c r="C449" s="18"/>
      <c r="D449" s="22"/>
      <c r="E449" s="19"/>
      <c r="F449" s="20"/>
      <c r="G449" s="16">
        <f>IF(AND(E449="",F449=""),"",IF(OR(E449="",F449=""),"falta dato",E449*F449))</f>
      </c>
      <c r="H449" s="20"/>
      <c r="I449" s="16">
        <f>IF(G449="","",IF(ISNUMBER(G449),G449-IF(H449="",0,H449),"falta dato"))</f>
      </c>
    </row>
    <row r="450" spans="1:9" x14ac:dyDescent="0.25">
      <c r="A450" s="17"/>
      <c r="B450" s="18"/>
      <c r="C450" s="18"/>
      <c r="D450" s="22"/>
      <c r="E450" s="19"/>
      <c r="F450" s="20"/>
      <c r="G450" s="16">
        <f>IF(AND(E450="",F450=""),"",IF(OR(E450="",F450=""),"falta dato",E450*F450))</f>
      </c>
      <c r="H450" s="20"/>
      <c r="I450" s="16">
        <f>IF(G450="","",IF(ISNUMBER(G450),G450-IF(H450="",0,H450),"falta dato"))</f>
      </c>
    </row>
    <row r="451" spans="1:9" x14ac:dyDescent="0.25">
      <c r="A451" s="17"/>
      <c r="B451" s="18"/>
      <c r="C451" s="18"/>
      <c r="D451" s="22"/>
      <c r="E451" s="19"/>
      <c r="F451" s="20"/>
      <c r="G451" s="16">
        <f>IF(AND(E451="",F451=""),"",IF(OR(E451="",F451=""),"falta dato",E451*F451))</f>
      </c>
      <c r="H451" s="20"/>
      <c r="I451" s="16">
        <f>IF(G451="","",IF(ISNUMBER(G451),G451-IF(H451="",0,H451),"falta dato"))</f>
      </c>
    </row>
    <row r="452" spans="1:9" x14ac:dyDescent="0.25">
      <c r="A452" s="17"/>
      <c r="B452" s="18"/>
      <c r="C452" s="18"/>
      <c r="D452" s="22"/>
      <c r="E452" s="19"/>
      <c r="F452" s="20"/>
      <c r="G452" s="16">
        <f>IF(AND(E452="",F452=""),"",IF(OR(E452="",F452=""),"falta dato",E452*F452))</f>
      </c>
      <c r="H452" s="20"/>
      <c r="I452" s="16">
        <f>IF(G452="","",IF(ISNUMBER(G452),G452-IF(H452="",0,H452),"falta dato"))</f>
      </c>
    </row>
    <row r="453" spans="1:9" x14ac:dyDescent="0.25">
      <c r="A453" s="17"/>
      <c r="B453" s="18"/>
      <c r="C453" s="18"/>
      <c r="D453" s="22"/>
      <c r="E453" s="19"/>
      <c r="F453" s="20"/>
      <c r="G453" s="16">
        <f>IF(AND(E453="",F453=""),"",IF(OR(E453="",F453=""),"falta dato",E453*F453))</f>
      </c>
      <c r="H453" s="20"/>
      <c r="I453" s="16">
        <f>IF(G453="","",IF(ISNUMBER(G453),G453-IF(H453="",0,H453),"falta dato"))</f>
      </c>
    </row>
    <row r="454" spans="1:9" x14ac:dyDescent="0.25">
      <c r="A454" s="17"/>
      <c r="B454" s="18"/>
      <c r="C454" s="18"/>
      <c r="D454" s="22"/>
      <c r="E454" s="19"/>
      <c r="F454" s="20"/>
      <c r="G454" s="16">
        <f>IF(AND(E454="",F454=""),"",IF(OR(E454="",F454=""),"falta dato",E454*F454))</f>
      </c>
      <c r="H454" s="20"/>
      <c r="I454" s="16">
        <f>IF(G454="","",IF(ISNUMBER(G454),G454-IF(H454="",0,H454),"falta dato"))</f>
      </c>
    </row>
    <row r="455" spans="1:9" x14ac:dyDescent="0.25">
      <c r="A455" s="17"/>
      <c r="B455" s="18"/>
      <c r="C455" s="18"/>
      <c r="D455" s="22"/>
      <c r="E455" s="19"/>
      <c r="F455" s="20"/>
      <c r="G455" s="16">
        <f>IF(AND(E455="",F455=""),"",IF(OR(E455="",F455=""),"falta dato",E455*F455))</f>
      </c>
      <c r="H455" s="20"/>
      <c r="I455" s="16">
        <f>IF(G455="","",IF(ISNUMBER(G455),G455-IF(H455="",0,H455),"falta dato"))</f>
      </c>
    </row>
    <row r="456" spans="1:9" x14ac:dyDescent="0.25">
      <c r="A456" s="17"/>
      <c r="B456" s="18"/>
      <c r="C456" s="18"/>
      <c r="D456" s="22"/>
      <c r="E456" s="19"/>
      <c r="F456" s="20"/>
      <c r="G456" s="16">
        <f>IF(AND(E456="",F456=""),"",IF(OR(E456="",F456=""),"falta dato",E456*F456))</f>
      </c>
      <c r="H456" s="20"/>
      <c r="I456" s="16">
        <f>IF(G456="","",IF(ISNUMBER(G456),G456-IF(H456="",0,H456),"falta dato"))</f>
      </c>
    </row>
    <row r="457" spans="1:9" x14ac:dyDescent="0.25">
      <c r="A457" s="17"/>
      <c r="B457" s="18"/>
      <c r="C457" s="18"/>
      <c r="D457" s="22"/>
      <c r="E457" s="19"/>
      <c r="F457" s="20"/>
      <c r="G457" s="16">
        <f>IF(AND(E457="",F457=""),"",IF(OR(E457="",F457=""),"falta dato",E457*F457))</f>
      </c>
      <c r="H457" s="20"/>
      <c r="I457" s="16">
        <f>IF(G457="","",IF(ISNUMBER(G457),G457-IF(H457="",0,H457),"falta dato"))</f>
      </c>
    </row>
    <row r="458" spans="1:9" x14ac:dyDescent="0.25">
      <c r="A458" s="17"/>
      <c r="B458" s="18"/>
      <c r="C458" s="18"/>
      <c r="D458" s="22"/>
      <c r="E458" s="19"/>
      <c r="F458" s="20"/>
      <c r="G458" s="16">
        <f>IF(AND(E458="",F458=""),"",IF(OR(E458="",F458=""),"falta dato",E458*F458))</f>
      </c>
      <c r="H458" s="20"/>
      <c r="I458" s="16">
        <f>IF(G458="","",IF(ISNUMBER(G458),G458-IF(H458="",0,H458),"falta dato"))</f>
      </c>
    </row>
    <row r="459" spans="1:9" x14ac:dyDescent="0.25">
      <c r="A459" s="17"/>
      <c r="B459" s="18"/>
      <c r="C459" s="18"/>
      <c r="D459" s="22"/>
      <c r="E459" s="19"/>
      <c r="F459" s="20"/>
      <c r="G459" s="16">
        <f>IF(AND(E459="",F459=""),"",IF(OR(E459="",F459=""),"falta dato",E459*F459))</f>
      </c>
      <c r="H459" s="20"/>
      <c r="I459" s="16">
        <f>IF(G459="","",IF(ISNUMBER(G459),G459-IF(H459="",0,H459),"falta dato"))</f>
      </c>
    </row>
    <row r="460" spans="1:9" x14ac:dyDescent="0.25">
      <c r="A460" s="17"/>
      <c r="B460" s="18"/>
      <c r="C460" s="18"/>
      <c r="D460" s="22"/>
      <c r="E460" s="19"/>
      <c r="F460" s="20"/>
      <c r="G460" s="16">
        <f>IF(AND(E460="",F460=""),"",IF(OR(E460="",F460=""),"falta dato",E460*F460))</f>
      </c>
      <c r="H460" s="20"/>
      <c r="I460" s="16">
        <f>IF(G460="","",IF(ISNUMBER(G460),G460-IF(H460="",0,H460),"falta dato"))</f>
      </c>
    </row>
    <row r="461" spans="1:9" x14ac:dyDescent="0.25">
      <c r="A461" s="17"/>
      <c r="B461" s="18"/>
      <c r="C461" s="18"/>
      <c r="D461" s="22"/>
      <c r="E461" s="19"/>
      <c r="F461" s="20"/>
      <c r="G461" s="16">
        <f>IF(AND(E461="",F461=""),"",IF(OR(E461="",F461=""),"falta dato",E461*F461))</f>
      </c>
      <c r="H461" s="20"/>
      <c r="I461" s="16">
        <f>IF(G461="","",IF(ISNUMBER(G461),G461-IF(H461="",0,H461),"falta dato"))</f>
      </c>
    </row>
    <row r="462" spans="1:9" x14ac:dyDescent="0.25">
      <c r="A462" s="17"/>
      <c r="B462" s="18"/>
      <c r="C462" s="18"/>
      <c r="D462" s="22"/>
      <c r="E462" s="19"/>
      <c r="F462" s="20"/>
      <c r="G462" s="16">
        <f>IF(AND(E462="",F462=""),"",IF(OR(E462="",F462=""),"falta dato",E462*F462))</f>
      </c>
      <c r="H462" s="20"/>
      <c r="I462" s="16">
        <f>IF(G462="","",IF(ISNUMBER(G462),G462-IF(H462="",0,H462),"falta dato"))</f>
      </c>
    </row>
    <row r="463" spans="1:9" x14ac:dyDescent="0.25">
      <c r="A463" s="17"/>
      <c r="B463" s="18"/>
      <c r="C463" s="18"/>
      <c r="D463" s="22"/>
      <c r="E463" s="19"/>
      <c r="F463" s="20"/>
      <c r="G463" s="16">
        <f>IF(AND(E463="",F463=""),"",IF(OR(E463="",F463=""),"falta dato",E463*F463))</f>
      </c>
      <c r="H463" s="20"/>
      <c r="I463" s="16">
        <f>IF(G463="","",IF(ISNUMBER(G463),G463-IF(H463="",0,H463),"falta dato"))</f>
      </c>
    </row>
    <row r="464" spans="1:9" x14ac:dyDescent="0.25">
      <c r="A464" s="17"/>
      <c r="B464" s="18"/>
      <c r="C464" s="18"/>
      <c r="D464" s="22"/>
      <c r="E464" s="19"/>
      <c r="F464" s="20"/>
      <c r="G464" s="16">
        <f>IF(AND(E464="",F464=""),"",IF(OR(E464="",F464=""),"falta dato",E464*F464))</f>
      </c>
      <c r="H464" s="20"/>
      <c r="I464" s="16">
        <f>IF(G464="","",IF(ISNUMBER(G464),G464-IF(H464="",0,H464),"falta dato"))</f>
      </c>
    </row>
    <row r="465" spans="1:9" x14ac:dyDescent="0.25">
      <c r="A465" s="17"/>
      <c r="B465" s="18"/>
      <c r="C465" s="18"/>
      <c r="D465" s="22"/>
      <c r="E465" s="19"/>
      <c r="F465" s="20"/>
      <c r="G465" s="16">
        <f>IF(AND(E465="",F465=""),"",IF(OR(E465="",F465=""),"falta dato",E465*F465))</f>
      </c>
      <c r="H465" s="20"/>
      <c r="I465" s="16">
        <f>IF(G465="","",IF(ISNUMBER(G465),G465-IF(H465="",0,H465),"falta dato"))</f>
      </c>
    </row>
    <row r="466" spans="1:9" x14ac:dyDescent="0.25">
      <c r="A466" s="17"/>
      <c r="B466" s="18"/>
      <c r="C466" s="18"/>
      <c r="D466" s="22"/>
      <c r="E466" s="19"/>
      <c r="F466" s="20"/>
      <c r="G466" s="16">
        <f>IF(AND(E466="",F466=""),"",IF(OR(E466="",F466=""),"falta dato",E466*F466))</f>
      </c>
      <c r="H466" s="20"/>
      <c r="I466" s="16">
        <f>IF(G466="","",IF(ISNUMBER(G466),G466-IF(H466="",0,H466),"falta dato"))</f>
      </c>
    </row>
    <row r="467" spans="1:9" x14ac:dyDescent="0.25">
      <c r="A467" s="17"/>
      <c r="B467" s="18"/>
      <c r="C467" s="18"/>
      <c r="D467" s="22"/>
      <c r="E467" s="19"/>
      <c r="F467" s="20"/>
      <c r="G467" s="16">
        <f>IF(AND(E467="",F467=""),"",IF(OR(E467="",F467=""),"falta dato",E467*F467))</f>
      </c>
      <c r="H467" s="20"/>
      <c r="I467" s="16">
        <f>IF(G467="","",IF(ISNUMBER(G467),G467-IF(H467="",0,H467),"falta dato"))</f>
      </c>
    </row>
    <row r="468" spans="1:9" x14ac:dyDescent="0.25">
      <c r="A468" s="17"/>
      <c r="B468" s="18"/>
      <c r="C468" s="18"/>
      <c r="D468" s="22"/>
      <c r="E468" s="19"/>
      <c r="F468" s="20"/>
      <c r="G468" s="16">
        <f>IF(AND(E468="",F468=""),"",IF(OR(E468="",F468=""),"falta dato",E468*F468))</f>
      </c>
      <c r="H468" s="20"/>
      <c r="I468" s="16">
        <f>IF(G468="","",IF(ISNUMBER(G468),G468-IF(H468="",0,H468),"falta dato"))</f>
      </c>
    </row>
    <row r="469" spans="1:9" x14ac:dyDescent="0.25">
      <c r="A469" s="17"/>
      <c r="B469" s="18"/>
      <c r="C469" s="18"/>
      <c r="D469" s="22"/>
      <c r="E469" s="19"/>
      <c r="F469" s="20"/>
      <c r="G469" s="16">
        <f>IF(AND(E469="",F469=""),"",IF(OR(E469="",F469=""),"falta dato",E469*F469))</f>
      </c>
      <c r="H469" s="20"/>
      <c r="I469" s="16">
        <f>IF(G469="","",IF(ISNUMBER(G469),G469-IF(H469="",0,H469),"falta dato"))</f>
      </c>
    </row>
    <row r="470" spans="1:9" x14ac:dyDescent="0.25">
      <c r="A470" s="17"/>
      <c r="B470" s="18"/>
      <c r="C470" s="18"/>
      <c r="D470" s="22"/>
      <c r="E470" s="19"/>
      <c r="F470" s="20"/>
      <c r="G470" s="16">
        <f>IF(AND(E470="",F470=""),"",IF(OR(E470="",F470=""),"falta dato",E470*F470))</f>
      </c>
      <c r="H470" s="20"/>
      <c r="I470" s="16">
        <f>IF(G470="","",IF(ISNUMBER(G470),G470-IF(H470="",0,H470),"falta dato"))</f>
      </c>
    </row>
    <row r="471" spans="1:9" x14ac:dyDescent="0.25">
      <c r="A471" s="17"/>
      <c r="B471" s="18"/>
      <c r="C471" s="18"/>
      <c r="D471" s="22"/>
      <c r="E471" s="19"/>
      <c r="F471" s="20"/>
      <c r="G471" s="16">
        <f>IF(AND(E471="",F471=""),"",IF(OR(E471="",F471=""),"falta dato",E471*F471))</f>
      </c>
      <c r="H471" s="20"/>
      <c r="I471" s="16">
        <f>IF(G471="","",IF(ISNUMBER(G471),G471-IF(H471="",0,H471),"falta dato"))</f>
      </c>
    </row>
    <row r="472" spans="1:9" x14ac:dyDescent="0.25">
      <c r="A472" s="17"/>
      <c r="B472" s="18"/>
      <c r="C472" s="18"/>
      <c r="D472" s="22"/>
      <c r="E472" s="19"/>
      <c r="F472" s="20"/>
      <c r="G472" s="16">
        <f>IF(AND(E472="",F472=""),"",IF(OR(E472="",F472=""),"falta dato",E472*F472))</f>
      </c>
      <c r="H472" s="20"/>
      <c r="I472" s="16">
        <f>IF(G472="","",IF(ISNUMBER(G472),G472-IF(H472="",0,H472),"falta dato"))</f>
      </c>
    </row>
    <row r="473" spans="1:9" x14ac:dyDescent="0.25">
      <c r="A473" s="17"/>
      <c r="B473" s="18"/>
      <c r="C473" s="18"/>
      <c r="D473" s="22"/>
      <c r="E473" s="19"/>
      <c r="F473" s="20"/>
      <c r="G473" s="16">
        <f>IF(AND(E473="",F473=""),"",IF(OR(E473="",F473=""),"falta dato",E473*F473))</f>
      </c>
      <c r="H473" s="20"/>
      <c r="I473" s="16">
        <f>IF(G473="","",IF(ISNUMBER(G473),G473-IF(H473="",0,H473),"falta dato"))</f>
      </c>
    </row>
    <row r="474" spans="1:9" x14ac:dyDescent="0.25">
      <c r="A474" s="17"/>
      <c r="B474" s="18"/>
      <c r="C474" s="18"/>
      <c r="D474" s="22"/>
      <c r="E474" s="19"/>
      <c r="F474" s="20"/>
      <c r="G474" s="16">
        <f>IF(AND(E474="",F474=""),"",IF(OR(E474="",F474=""),"falta dato",E474*F474))</f>
      </c>
      <c r="H474" s="20"/>
      <c r="I474" s="16">
        <f>IF(G474="","",IF(ISNUMBER(G474),G474-IF(H474="",0,H474),"falta dato"))</f>
      </c>
    </row>
    <row r="475" spans="1:9" x14ac:dyDescent="0.25">
      <c r="A475" s="17"/>
      <c r="B475" s="18"/>
      <c r="C475" s="18"/>
      <c r="D475" s="22"/>
      <c r="E475" s="19"/>
      <c r="F475" s="20"/>
      <c r="G475" s="16">
        <f>IF(AND(E475="",F475=""),"",IF(OR(E475="",F475=""),"falta dato",E475*F475))</f>
      </c>
      <c r="H475" s="20"/>
      <c r="I475" s="16">
        <f>IF(G475="","",IF(ISNUMBER(G475),G475-IF(H475="",0,H475),"falta dato"))</f>
      </c>
    </row>
    <row r="476" spans="1:9" x14ac:dyDescent="0.25">
      <c r="A476" s="17"/>
      <c r="B476" s="18"/>
      <c r="C476" s="18"/>
      <c r="D476" s="22"/>
      <c r="E476" s="19"/>
      <c r="F476" s="20"/>
      <c r="G476" s="16">
        <f>IF(AND(E476="",F476=""),"",IF(OR(E476="",F476=""),"falta dato",E476*F476))</f>
      </c>
      <c r="H476" s="20"/>
      <c r="I476" s="16">
        <f>IF(G476="","",IF(ISNUMBER(G476),G476-IF(H476="",0,H476),"falta dato"))</f>
      </c>
    </row>
    <row r="477" spans="1:9" x14ac:dyDescent="0.25">
      <c r="A477" s="17"/>
      <c r="B477" s="18"/>
      <c r="C477" s="18"/>
      <c r="D477" s="22"/>
      <c r="E477" s="19"/>
      <c r="F477" s="20"/>
      <c r="G477" s="16">
        <f>IF(AND(E477="",F477=""),"",IF(OR(E477="",F477=""),"falta dato",E477*F477))</f>
      </c>
      <c r="H477" s="20"/>
      <c r="I477" s="16">
        <f>IF(G477="","",IF(ISNUMBER(G477),G477-IF(H477="",0,H477),"falta dato"))</f>
      </c>
    </row>
    <row r="478" spans="1:9" x14ac:dyDescent="0.25">
      <c r="A478" s="17"/>
      <c r="B478" s="18"/>
      <c r="C478" s="18"/>
      <c r="D478" s="22"/>
      <c r="E478" s="19"/>
      <c r="F478" s="20"/>
      <c r="G478" s="16">
        <f>IF(AND(E478="",F478=""),"",IF(OR(E478="",F478=""),"falta dato",E478*F478))</f>
      </c>
      <c r="H478" s="20"/>
      <c r="I478" s="16">
        <f>IF(G478="","",IF(ISNUMBER(G478),G478-IF(H478="",0,H478),"falta dato"))</f>
      </c>
    </row>
    <row r="479" spans="1:9" x14ac:dyDescent="0.25">
      <c r="A479" s="17"/>
      <c r="B479" s="18"/>
      <c r="C479" s="18"/>
      <c r="D479" s="22"/>
      <c r="E479" s="19"/>
      <c r="F479" s="20"/>
      <c r="G479" s="16">
        <f>IF(AND(E479="",F479=""),"",IF(OR(E479="",F479=""),"falta dato",E479*F479))</f>
      </c>
      <c r="H479" s="20"/>
      <c r="I479" s="16">
        <f>IF(G479="","",IF(ISNUMBER(G479),G479-IF(H479="",0,H479),"falta dato"))</f>
      </c>
    </row>
    <row r="480" spans="1:9" x14ac:dyDescent="0.25">
      <c r="A480" s="17"/>
      <c r="B480" s="18"/>
      <c r="C480" s="18"/>
      <c r="D480" s="22"/>
      <c r="E480" s="19"/>
      <c r="F480" s="20"/>
      <c r="G480" s="16">
        <f>IF(AND(E480="",F480=""),"",IF(OR(E480="",F480=""),"falta dato",E480*F480))</f>
      </c>
      <c r="H480" s="20"/>
      <c r="I480" s="16">
        <f>IF(G480="","",IF(ISNUMBER(G480),G480-IF(H480="",0,H480),"falta dato"))</f>
      </c>
    </row>
    <row r="481" spans="1:9" x14ac:dyDescent="0.25">
      <c r="A481" s="17"/>
      <c r="B481" s="18"/>
      <c r="C481" s="18"/>
      <c r="D481" s="22"/>
      <c r="E481" s="19"/>
      <c r="F481" s="20"/>
      <c r="G481" s="16">
        <f>IF(AND(E481="",F481=""),"",IF(OR(E481="",F481=""),"falta dato",E481*F481))</f>
      </c>
      <c r="H481" s="20"/>
      <c r="I481" s="16">
        <f>IF(G481="","",IF(ISNUMBER(G481),G481-IF(H481="",0,H481),"falta dato"))</f>
      </c>
    </row>
    <row r="482" spans="1:9" x14ac:dyDescent="0.25">
      <c r="A482" s="17"/>
      <c r="B482" s="18"/>
      <c r="C482" s="18"/>
      <c r="D482" s="22"/>
      <c r="E482" s="19"/>
      <c r="F482" s="20"/>
      <c r="G482" s="16">
        <f>IF(AND(E482="",F482=""),"",IF(OR(E482="",F482=""),"falta dato",E482*F482))</f>
      </c>
      <c r="H482" s="20"/>
      <c r="I482" s="16">
        <f>IF(G482="","",IF(ISNUMBER(G482),G482-IF(H482="",0,H482),"falta dato"))</f>
      </c>
    </row>
    <row r="483" spans="1:9" x14ac:dyDescent="0.25">
      <c r="A483" s="17"/>
      <c r="B483" s="18"/>
      <c r="C483" s="18"/>
      <c r="D483" s="22"/>
      <c r="E483" s="19"/>
      <c r="F483" s="20"/>
      <c r="G483" s="16">
        <f>IF(AND(E483="",F483=""),"",IF(OR(E483="",F483=""),"falta dato",E483*F483))</f>
      </c>
      <c r="H483" s="20"/>
      <c r="I483" s="16">
        <f>IF(G483="","",IF(ISNUMBER(G483),G483-IF(H483="",0,H483),"falta dato"))</f>
      </c>
    </row>
    <row r="484" spans="1:9" x14ac:dyDescent="0.25">
      <c r="A484" s="17"/>
      <c r="B484" s="18"/>
      <c r="C484" s="18"/>
      <c r="D484" s="22"/>
      <c r="E484" s="19"/>
      <c r="F484" s="20"/>
      <c r="G484" s="16">
        <f>IF(AND(E484="",F484=""),"",IF(OR(E484="",F484=""),"falta dato",E484*F484))</f>
      </c>
      <c r="H484" s="20"/>
      <c r="I484" s="16">
        <f>IF(G484="","",IF(ISNUMBER(G484),G484-IF(H484="",0,H484),"falta dato"))</f>
      </c>
    </row>
    <row r="485" spans="1:9" x14ac:dyDescent="0.25">
      <c r="A485" s="17"/>
      <c r="B485" s="18"/>
      <c r="C485" s="18"/>
      <c r="D485" s="22"/>
      <c r="E485" s="19"/>
      <c r="F485" s="20"/>
      <c r="G485" s="16">
        <f>IF(AND(E485="",F485=""),"",IF(OR(E485="",F485=""),"falta dato",E485*F485))</f>
      </c>
      <c r="H485" s="20"/>
      <c r="I485" s="16">
        <f>IF(G485="","",IF(ISNUMBER(G485),G485-IF(H485="",0,H485),"falta dato"))</f>
      </c>
    </row>
    <row r="486" spans="1:9" x14ac:dyDescent="0.25">
      <c r="A486" s="17"/>
      <c r="B486" s="18"/>
      <c r="C486" s="18"/>
      <c r="D486" s="22"/>
      <c r="E486" s="19"/>
      <c r="F486" s="20"/>
      <c r="G486" s="16">
        <f>IF(AND(E486="",F486=""),"",IF(OR(E486="",F486=""),"falta dato",E486*F486))</f>
      </c>
      <c r="H486" s="20"/>
      <c r="I486" s="16">
        <f>IF(G486="","",IF(ISNUMBER(G486),G486-IF(H486="",0,H486),"falta dato"))</f>
      </c>
    </row>
    <row r="487" spans="1:9" x14ac:dyDescent="0.25">
      <c r="A487" s="17"/>
      <c r="B487" s="18"/>
      <c r="C487" s="18"/>
      <c r="D487" s="22"/>
      <c r="E487" s="19"/>
      <c r="F487" s="20"/>
      <c r="G487" s="16">
        <f>IF(AND(E487="",F487=""),"",IF(OR(E487="",F487=""),"falta dato",E487*F487))</f>
      </c>
      <c r="H487" s="20"/>
      <c r="I487" s="16">
        <f>IF(G487="","",IF(ISNUMBER(G487),G487-IF(H487="",0,H487),"falta dato"))</f>
      </c>
    </row>
    <row r="488" spans="1:9" x14ac:dyDescent="0.25">
      <c r="A488" s="17"/>
      <c r="B488" s="18"/>
      <c r="C488" s="18"/>
      <c r="D488" s="22"/>
      <c r="E488" s="19"/>
      <c r="F488" s="20"/>
      <c r="G488" s="16">
        <f>IF(AND(E488="",F488=""),"",IF(OR(E488="",F488=""),"falta dato",E488*F488))</f>
      </c>
      <c r="H488" s="20"/>
      <c r="I488" s="16">
        <f>IF(G488="","",IF(ISNUMBER(G488),G488-IF(H488="",0,H488),"falta dato"))</f>
      </c>
    </row>
    <row r="489" spans="1:9" x14ac:dyDescent="0.25">
      <c r="A489" s="17"/>
      <c r="B489" s="18"/>
      <c r="C489" s="18"/>
      <c r="D489" s="22"/>
      <c r="E489" s="19"/>
      <c r="F489" s="20"/>
      <c r="G489" s="16">
        <f>IF(AND(E489="",F489=""),"",IF(OR(E489="",F489=""),"falta dato",E489*F489))</f>
      </c>
      <c r="H489" s="20"/>
      <c r="I489" s="16">
        <f>IF(G489="","",IF(ISNUMBER(G489),G489-IF(H489="",0,H489),"falta dato"))</f>
      </c>
    </row>
    <row r="490" spans="1:9" x14ac:dyDescent="0.25">
      <c r="A490" s="17"/>
      <c r="B490" s="18"/>
      <c r="C490" s="18"/>
      <c r="D490" s="22"/>
      <c r="E490" s="19"/>
      <c r="F490" s="20"/>
      <c r="G490" s="16">
        <f>IF(AND(E490="",F490=""),"",IF(OR(E490="",F490=""),"falta dato",E490*F490))</f>
      </c>
      <c r="H490" s="20"/>
      <c r="I490" s="16">
        <f>IF(G490="","",IF(ISNUMBER(G490),G490-IF(H490="",0,H490),"falta dato"))</f>
      </c>
    </row>
    <row r="491" spans="1:9" x14ac:dyDescent="0.25">
      <c r="A491" s="17"/>
      <c r="B491" s="18"/>
      <c r="C491" s="18"/>
      <c r="D491" s="22"/>
      <c r="E491" s="19"/>
      <c r="F491" s="20"/>
      <c r="G491" s="16">
        <f>IF(AND(E491="",F491=""),"",IF(OR(E491="",F491=""),"falta dato",E491*F491))</f>
      </c>
      <c r="H491" s="20"/>
      <c r="I491" s="16">
        <f>IF(G491="","",IF(ISNUMBER(G491),G491-IF(H491="",0,H491),"falta dato"))</f>
      </c>
    </row>
    <row r="492" spans="1:9" x14ac:dyDescent="0.25">
      <c r="A492" s="17"/>
      <c r="B492" s="18"/>
      <c r="C492" s="18"/>
      <c r="D492" s="22"/>
      <c r="E492" s="19"/>
      <c r="F492" s="20"/>
      <c r="G492" s="16">
        <f>IF(AND(E492="",F492=""),"",IF(OR(E492="",F492=""),"falta dato",E492*F492))</f>
      </c>
      <c r="H492" s="20"/>
      <c r="I492" s="16">
        <f>IF(G492="","",IF(ISNUMBER(G492),G492-IF(H492="",0,H492),"falta dato"))</f>
      </c>
    </row>
    <row r="493" spans="1:9" x14ac:dyDescent="0.25">
      <c r="A493" s="17"/>
      <c r="B493" s="18"/>
      <c r="C493" s="18"/>
      <c r="D493" s="22"/>
      <c r="E493" s="19"/>
      <c r="F493" s="20"/>
      <c r="G493" s="16">
        <f>IF(AND(E493="",F493=""),"",IF(OR(E493="",F493=""),"falta dato",E493*F493))</f>
      </c>
      <c r="H493" s="20"/>
      <c r="I493" s="16">
        <f>IF(G493="","",IF(ISNUMBER(G493),G493-IF(H493="",0,H493),"falta dato"))</f>
      </c>
    </row>
    <row r="494" spans="1:9" x14ac:dyDescent="0.25">
      <c r="A494" s="17"/>
      <c r="B494" s="18"/>
      <c r="C494" s="18"/>
      <c r="D494" s="22"/>
      <c r="E494" s="19"/>
      <c r="F494" s="20"/>
      <c r="G494" s="16">
        <f>IF(AND(E494="",F494=""),"",IF(OR(E494="",F494=""),"falta dato",E494*F494))</f>
      </c>
      <c r="H494" s="20"/>
      <c r="I494" s="16">
        <f>IF(G494="","",IF(ISNUMBER(G494),G494-IF(H494="",0,H494),"falta dato"))</f>
      </c>
    </row>
    <row r="495" spans="1:9" x14ac:dyDescent="0.25">
      <c r="A495" s="17"/>
      <c r="B495" s="18"/>
      <c r="C495" s="18"/>
      <c r="D495" s="22"/>
      <c r="E495" s="19"/>
      <c r="F495" s="20"/>
      <c r="G495" s="16">
        <f>IF(AND(E495="",F495=""),"",IF(OR(E495="",F495=""),"falta dato",E495*F495))</f>
      </c>
      <c r="H495" s="20"/>
      <c r="I495" s="16">
        <f>IF(G495="","",IF(ISNUMBER(G495),G495-IF(H495="",0,H495),"falta dato"))</f>
      </c>
    </row>
    <row r="496" spans="1:9" x14ac:dyDescent="0.25">
      <c r="A496" s="17"/>
      <c r="B496" s="18"/>
      <c r="C496" s="18"/>
      <c r="D496" s="22"/>
      <c r="E496" s="19"/>
      <c r="F496" s="20"/>
      <c r="G496" s="16">
        <f>IF(AND(E496="",F496=""),"",IF(OR(E496="",F496=""),"falta dato",E496*F496))</f>
      </c>
      <c r="H496" s="20"/>
      <c r="I496" s="16">
        <f>IF(G496="","",IF(ISNUMBER(G496),G496-IF(H496="",0,H496),"falta dato"))</f>
      </c>
    </row>
    <row r="497" spans="1:9" x14ac:dyDescent="0.25">
      <c r="A497" s="17"/>
      <c r="B497" s="18"/>
      <c r="C497" s="18"/>
      <c r="D497" s="22"/>
      <c r="E497" s="19"/>
      <c r="F497" s="20"/>
      <c r="G497" s="16">
        <f>IF(AND(E497="",F497=""),"",IF(OR(E497="",F497=""),"falta dato",E497*F497))</f>
      </c>
      <c r="H497" s="20"/>
      <c r="I497" s="16">
        <f>IF(G497="","",IF(ISNUMBER(G497),G497-IF(H497="",0,H497),"falta dato"))</f>
      </c>
    </row>
    <row r="498" spans="1:9" x14ac:dyDescent="0.25">
      <c r="A498" s="17"/>
      <c r="B498" s="18"/>
      <c r="C498" s="18"/>
      <c r="D498" s="22"/>
      <c r="E498" s="19"/>
      <c r="F498" s="20"/>
      <c r="G498" s="16">
        <f>IF(AND(E498="",F498=""),"",IF(OR(E498="",F498=""),"falta dato",E498*F498))</f>
      </c>
      <c r="H498" s="20"/>
      <c r="I498" s="16">
        <f>IF(G498="","",IF(ISNUMBER(G498),G498-IF(H498="",0,H498),"falta dato"))</f>
      </c>
    </row>
    <row r="499" spans="1:9" x14ac:dyDescent="0.25">
      <c r="A499" s="17"/>
      <c r="B499" s="18"/>
      <c r="C499" s="18"/>
      <c r="D499" s="22"/>
      <c r="E499" s="19"/>
      <c r="F499" s="20"/>
      <c r="G499" s="16">
        <f>IF(AND(E499="",F499=""),"",IF(OR(E499="",F499=""),"falta dato",E499*F499))</f>
      </c>
      <c r="H499" s="20"/>
      <c r="I499" s="16">
        <f>IF(G499="","",IF(ISNUMBER(G499),G499-IF(H499="",0,H499),"falta dato"))</f>
      </c>
    </row>
    <row r="500" spans="1:9" x14ac:dyDescent="0.25">
      <c r="A500" s="17"/>
      <c r="B500" s="18"/>
      <c r="C500" s="18"/>
      <c r="D500" s="22"/>
      <c r="E500" s="19"/>
      <c r="F500" s="20"/>
      <c r="G500" s="16">
        <f>IF(AND(E500="",F500=""),"",IF(OR(E500="",F500=""),"falta dato",E500*F500))</f>
      </c>
      <c r="H500" s="20"/>
      <c r="I500" s="16">
        <f>IF(G500="","",IF(ISNUMBER(G500),G500-IF(H500="",0,H500),"falta dato"))</f>
      </c>
    </row>
    <row r="501" spans="1:9" x14ac:dyDescent="0.25">
      <c r="A501" s="17"/>
      <c r="B501" s="18"/>
      <c r="C501" s="18"/>
      <c r="D501" s="22"/>
      <c r="E501" s="19"/>
      <c r="F501" s="20"/>
      <c r="G501" s="16">
        <f>IF(AND(E501="",F501=""),"",IF(OR(E501="",F501=""),"falta dato",E501*F501))</f>
      </c>
      <c r="H501" s="20"/>
      <c r="I501" s="16">
        <f>IF(G501="","",IF(ISNUMBER(G501),G501-IF(H501="",0,H501),"falta dato"))</f>
      </c>
    </row>
    <row r="502" spans="1:9" x14ac:dyDescent="0.25">
      <c r="A502" s="17"/>
      <c r="B502" s="18"/>
      <c r="C502" s="18"/>
      <c r="D502" s="22"/>
      <c r="E502" s="19"/>
      <c r="F502" s="20"/>
      <c r="G502" s="16">
        <f>IF(AND(E502="",F502=""),"",IF(OR(E502="",F502=""),"falta dato",E502*F502))</f>
      </c>
      <c r="H502" s="20"/>
      <c r="I502" s="16">
        <f>IF(G502="","",IF(ISNUMBER(G502),G502-IF(H502="",0,H502),"falta dato"))</f>
      </c>
    </row>
    <row r="503" spans="1:9" x14ac:dyDescent="0.25">
      <c r="A503" s="17"/>
      <c r="B503" s="18"/>
      <c r="C503" s="18"/>
      <c r="D503" s="22"/>
      <c r="E503" s="19"/>
      <c r="F503" s="20"/>
      <c r="G503" s="16">
        <f>IF(AND(E503="",F503=""),"",IF(OR(E503="",F503=""),"falta dato",E503*F503))</f>
      </c>
      <c r="H503" s="20"/>
      <c r="I503" s="16">
        <f>IF(G503="","",IF(ISNUMBER(G503),G503-IF(H503="",0,H503),"falta dato"))</f>
      </c>
    </row>
    <row r="504" spans="1:9" x14ac:dyDescent="0.25">
      <c r="A504" s="17"/>
      <c r="B504" s="18"/>
      <c r="C504" s="18"/>
      <c r="D504" s="22"/>
      <c r="E504" s="19"/>
      <c r="F504" s="20"/>
      <c r="G504" s="16">
        <f>IF(AND(E504="",F504=""),"",IF(OR(E504="",F504=""),"falta dato",E504*F504))</f>
      </c>
      <c r="H504" s="20"/>
      <c r="I504" s="16">
        <f>IF(G504="","",IF(ISNUMBER(G504),G504-IF(H504="",0,H504),"falta dato"))</f>
      </c>
    </row>
    <row r="505" spans="1:9" x14ac:dyDescent="0.25">
      <c r="A505" s="17"/>
      <c r="B505" s="18"/>
      <c r="C505" s="18"/>
      <c r="D505" s="22"/>
      <c r="E505" s="19"/>
      <c r="F505" s="20"/>
      <c r="G505" s="16">
        <f>IF(AND(E505="",F505=""),"",IF(OR(E505="",F505=""),"falta dato",E505*F505))</f>
      </c>
      <c r="H505" s="20"/>
      <c r="I505" s="16">
        <f>IF(G505="","",IF(ISNUMBER(G505),G505-IF(H505="",0,H505),"falta dato"))</f>
      </c>
    </row>
  </sheetData>
  <sheetProtection sheet="1" formatColumns="0" formatRows="0" autoFilter="0"/>
  <conditionalFormatting sqref="G5:I505">
    <cfRule type="containsText" dxfId="1" priority="1">
      <formula>NOT(ISERROR(SEARCH("falta",G5)))</formula>
    </cfRule>
  </conditionalFormatting>
  <dataValidations count="6">
    <dataValidation type="date" operator="greaterThan" allowBlank="1" showErrorMessage="1" errorTitle="Fecha" error="Escriba una fecha válida." sqref="A5:A505">
      <formula1>36526</formula1>
    </dataValidation>
    <dataValidation type="list" allowBlank="1" showErrorMessage="1" errorTitle="Lote" error="Elija un lote de la lista." sqref="B5:B505">
      <formula1>'Control de lotes'!$A$5:$A$54</formula1>
    </dataValidation>
    <dataValidation type="whole" operator="greaterThanOrEqual" allowBlank="1" showErrorMessage="1" errorTitle="Cerdos" error="Un número entero, sin negativos." sqref="D5:D505">
      <formula1>0</formula1>
    </dataValidation>
    <dataValidation type="decimal" operator="greaterThanOrEqual" allowBlank="1" showErrorMessage="1" errorTitle="Número" error="No puede ser negativo." sqref="E5:E505">
      <formula1>0</formula1>
    </dataValidation>
    <dataValidation type="decimal" operator="greaterThanOrEqual" allowBlank="1" showErrorMessage="1" errorTitle="Número" error="No puede ser negativo." sqref="F5:F505">
      <formula1>0</formula1>
    </dataValidation>
    <dataValidation type="decimal" operator="greaterThanOrEqual" allowBlank="1" showErrorMessage="1" errorTitle="Número" error="No puede ser negativo." sqref="H5:H505">
      <formula1>0</formula1>
    </dataValidation>
  </dataValidations>
  <pageSetup paperSize="1"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B4E9E"/>
    <pageSetUpPr fitToPage="1"/>
  </sheetPr>
  <dimension ref="A1:N54"/>
  <sheetViews>
    <sheetView workbookViewId="0">
      <pane ySplit="4" topLeftCell="A5" activePane="bottomLeft" state="frozen"/>
      <selection pane="bottomLeft"/>
    </sheetView>
  </sheetViews>
  <sheetFormatPr defaultRowHeight="15" outlineLevelRow="0" outlineLevelCol="0" x14ac:dyDescent="55"/>
  <cols>
    <col min="1" max="1" width="10" customWidth="1"/>
    <col min="2" max="3" width="12" customWidth="1"/>
    <col min="4" max="4" width="11" customWidth="1"/>
    <col min="6" max="7" width="13" customWidth="1"/>
    <col min="8" max="8" width="11" customWidth="1"/>
    <col min="9" max="9" width="10" customWidth="1"/>
    <col min="10" max="10" width="12" customWidth="1"/>
    <col min="11" max="14" width="16" customWidth="1"/>
  </cols>
  <sheetData>
    <row r="1" spans="1:1" x14ac:dyDescent="0.25">
      <c r="A1" s="9" t="s">
        <v>99</v>
      </c>
    </row>
    <row r="2" spans="1:1" x14ac:dyDescent="0.25">
      <c r="A2" s="2" t="s">
        <v>100</v>
      </c>
    </row>
    <row r="3" spans="1:1" x14ac:dyDescent="0.25">
      <c r="A3" s="10" t="s">
        <v>57</v>
      </c>
    </row>
    <row r="4" ht="34" customHeight="1" spans="1:14" x14ac:dyDescent="0.25">
      <c r="A4" s="11" t="s">
        <v>59</v>
      </c>
      <c r="B4" s="11" t="s">
        <v>101</v>
      </c>
      <c r="C4" s="11" t="s">
        <v>102</v>
      </c>
      <c r="D4" s="11" t="s">
        <v>103</v>
      </c>
      <c r="E4" s="11" t="s">
        <v>104</v>
      </c>
      <c r="F4" s="11" t="s">
        <v>105</v>
      </c>
      <c r="G4" s="11" t="s">
        <v>106</v>
      </c>
      <c r="H4" s="11" t="s">
        <v>91</v>
      </c>
      <c r="I4" s="11" t="s">
        <v>107</v>
      </c>
      <c r="J4" s="11" t="s">
        <v>108</v>
      </c>
      <c r="K4" s="11" t="s">
        <v>109</v>
      </c>
      <c r="L4" s="11" t="s">
        <v>110</v>
      </c>
      <c r="M4" s="11" t="s">
        <v>96</v>
      </c>
      <c r="N4" s="11" t="s">
        <v>111</v>
      </c>
    </row>
    <row r="5" spans="1:14" x14ac:dyDescent="0.25">
      <c r="A5" s="13" t="s">
        <v>67</v>
      </c>
      <c r="B5" s="12">
        <v>46027</v>
      </c>
      <c r="C5" s="12">
        <v>46137</v>
      </c>
      <c r="D5" s="21">
        <v>50</v>
      </c>
      <c r="E5" s="21">
        <v>2</v>
      </c>
      <c r="F5" s="23">
        <v>25</v>
      </c>
      <c r="G5" s="21">
        <v>12500</v>
      </c>
      <c r="H5" s="24">
        <f>IF(A5="","",IF(D5="","falta dato",D5-IF(E5="",0,E5)))</f>
      </c>
      <c r="I5" s="24">
        <f>IF(A5="","",IF(OR(B5="",C5=""),"falta dato",C5-B5))</f>
      </c>
      <c r="J5" s="25">
        <f>IF(A5="","",SUMIF('Registro de ingresos'!$B$5:$B$505,A5,'Registro de ingresos'!$E$5:$E$505))</f>
      </c>
      <c r="K5" s="16">
        <f>IF(A5="","",SUMIF('Registro de gastos'!$B$5:$B$505,A5,'Registro de gastos'!$H$5:$H$505))</f>
      </c>
      <c r="L5" s="16">
        <f>IF(A5="","",SUMIFS('Registro de gastos'!$H$5:$H$505,'Registro de gastos'!$B$5:$B$505,A5,'Registro de gastos'!$C$5:$C$505,"Compra de lechones"))</f>
      </c>
      <c r="M5" s="16">
        <f>IF(A5="","",SUMIF('Registro de ingresos'!$B$5:$B$505,A5,'Registro de ingresos'!$I$5:$I$505))</f>
      </c>
      <c r="N5" s="16">
        <f>IF(A5="","",IF(M5=0,"sin ventas todavía",M5-K5))</f>
      </c>
    </row>
    <row r="6" spans="1:14" x14ac:dyDescent="0.25">
      <c r="A6" s="13" t="s">
        <v>85</v>
      </c>
      <c r="B6" s="12">
        <v>46054</v>
      </c>
      <c r="C6" s="12">
        <v>46164</v>
      </c>
      <c r="D6" s="21">
        <v>20</v>
      </c>
      <c r="E6" s="21">
        <v>1</v>
      </c>
      <c r="F6" s="23">
        <v>25</v>
      </c>
      <c r="G6" s="21">
        <v>5000</v>
      </c>
      <c r="H6" s="24">
        <f>IF(A6="","",IF(D6="","falta dato",D6-IF(E6="",0,E6)))</f>
      </c>
      <c r="I6" s="24">
        <f>IF(A6="","",IF(OR(B6="",C6=""),"falta dato",C6-B6))</f>
      </c>
      <c r="J6" s="25">
        <f>IF(A6="","",SUMIF('Registro de ingresos'!$B$5:$B$505,A6,'Registro de ingresos'!$E$5:$E$505))</f>
      </c>
      <c r="K6" s="16">
        <f>IF(A6="","",SUMIF('Registro de gastos'!$B$5:$B$505,A6,'Registro de gastos'!$H$5:$H$505))</f>
      </c>
      <c r="L6" s="16">
        <f>IF(A6="","",SUMIFS('Registro de gastos'!$H$5:$H$505,'Registro de gastos'!$B$5:$B$505,A6,'Registro de gastos'!$C$5:$C$505,"Compra de lechones"))</f>
      </c>
      <c r="M6" s="16">
        <f>IF(A6="","",SUMIF('Registro de ingresos'!$B$5:$B$505,A6,'Registro de ingresos'!$I$5:$I$505))</f>
      </c>
      <c r="N6" s="16">
        <f>IF(A6="","",IF(M6=0,"sin ventas todavía",M6-K6))</f>
      </c>
    </row>
    <row r="7" spans="1:14" x14ac:dyDescent="0.25">
      <c r="A7" s="18"/>
      <c r="B7" s="17"/>
      <c r="C7" s="17"/>
      <c r="D7" s="22"/>
      <c r="E7" s="22"/>
      <c r="F7" s="26"/>
      <c r="G7" s="22"/>
      <c r="H7" s="24">
        <f>IF(A7="","",IF(D7="","falta dato",D7-IF(E7="",0,E7)))</f>
      </c>
      <c r="I7" s="24">
        <f>IF(A7="","",IF(OR(B7="",C7=""),"falta dato",C7-B7))</f>
      </c>
      <c r="J7" s="25">
        <f>IF(A7="","",SUMIF('Registro de ingresos'!$B$5:$B$505,A7,'Registro de ingresos'!$E$5:$E$505))</f>
      </c>
      <c r="K7" s="16">
        <f>IF(A7="","",SUMIF('Registro de gastos'!$B$5:$B$505,A7,'Registro de gastos'!$H$5:$H$505))</f>
      </c>
      <c r="L7" s="16">
        <f>IF(A7="","",SUMIFS('Registro de gastos'!$H$5:$H$505,'Registro de gastos'!$B$5:$B$505,A7,'Registro de gastos'!$C$5:$C$505,"Compra de lechones"))</f>
      </c>
      <c r="M7" s="16">
        <f>IF(A7="","",SUMIF('Registro de ingresos'!$B$5:$B$505,A7,'Registro de ingresos'!$I$5:$I$505))</f>
      </c>
      <c r="N7" s="16">
        <f>IF(A7="","",IF(M7=0,"sin ventas todavía",M7-K7))</f>
      </c>
    </row>
    <row r="8" spans="1:14" x14ac:dyDescent="0.25">
      <c r="A8" s="18"/>
      <c r="B8" s="17"/>
      <c r="C8" s="17"/>
      <c r="D8" s="22"/>
      <c r="E8" s="22"/>
      <c r="F8" s="26"/>
      <c r="G8" s="22"/>
      <c r="H8" s="24">
        <f>IF(A8="","",IF(D8="","falta dato",D8-IF(E8="",0,E8)))</f>
      </c>
      <c r="I8" s="24">
        <f>IF(A8="","",IF(OR(B8="",C8=""),"falta dato",C8-B8))</f>
      </c>
      <c r="J8" s="25">
        <f>IF(A8="","",SUMIF('Registro de ingresos'!$B$5:$B$505,A8,'Registro de ingresos'!$E$5:$E$505))</f>
      </c>
      <c r="K8" s="16">
        <f>IF(A8="","",SUMIF('Registro de gastos'!$B$5:$B$505,A8,'Registro de gastos'!$H$5:$H$505))</f>
      </c>
      <c r="L8" s="16">
        <f>IF(A8="","",SUMIFS('Registro de gastos'!$H$5:$H$505,'Registro de gastos'!$B$5:$B$505,A8,'Registro de gastos'!$C$5:$C$505,"Compra de lechones"))</f>
      </c>
      <c r="M8" s="16">
        <f>IF(A8="","",SUMIF('Registro de ingresos'!$B$5:$B$505,A8,'Registro de ingresos'!$I$5:$I$505))</f>
      </c>
      <c r="N8" s="16">
        <f>IF(A8="","",IF(M8=0,"sin ventas todavía",M8-K8))</f>
      </c>
    </row>
    <row r="9" spans="1:14" x14ac:dyDescent="0.25">
      <c r="A9" s="18"/>
      <c r="B9" s="17"/>
      <c r="C9" s="17"/>
      <c r="D9" s="22"/>
      <c r="E9" s="22"/>
      <c r="F9" s="26"/>
      <c r="G9" s="22"/>
      <c r="H9" s="24">
        <f>IF(A9="","",IF(D9="","falta dato",D9-IF(E9="",0,E9)))</f>
      </c>
      <c r="I9" s="24">
        <f>IF(A9="","",IF(OR(B9="",C9=""),"falta dato",C9-B9))</f>
      </c>
      <c r="J9" s="25">
        <f>IF(A9="","",SUMIF('Registro de ingresos'!$B$5:$B$505,A9,'Registro de ingresos'!$E$5:$E$505))</f>
      </c>
      <c r="K9" s="16">
        <f>IF(A9="","",SUMIF('Registro de gastos'!$B$5:$B$505,A9,'Registro de gastos'!$H$5:$H$505))</f>
      </c>
      <c r="L9" s="16">
        <f>IF(A9="","",SUMIFS('Registro de gastos'!$H$5:$H$505,'Registro de gastos'!$B$5:$B$505,A9,'Registro de gastos'!$C$5:$C$505,"Compra de lechones"))</f>
      </c>
      <c r="M9" s="16">
        <f>IF(A9="","",SUMIF('Registro de ingresos'!$B$5:$B$505,A9,'Registro de ingresos'!$I$5:$I$505))</f>
      </c>
      <c r="N9" s="16">
        <f>IF(A9="","",IF(M9=0,"sin ventas todavía",M9-K9))</f>
      </c>
    </row>
    <row r="10" spans="1:14" x14ac:dyDescent="0.25">
      <c r="A10" s="18"/>
      <c r="B10" s="17"/>
      <c r="C10" s="17"/>
      <c r="D10" s="22"/>
      <c r="E10" s="22"/>
      <c r="F10" s="26"/>
      <c r="G10" s="22"/>
      <c r="H10" s="24">
        <f>IF(A10="","",IF(D10="","falta dato",D10-IF(E10="",0,E10)))</f>
      </c>
      <c r="I10" s="24">
        <f>IF(A10="","",IF(OR(B10="",C10=""),"falta dato",C10-B10))</f>
      </c>
      <c r="J10" s="25">
        <f>IF(A10="","",SUMIF('Registro de ingresos'!$B$5:$B$505,A10,'Registro de ingresos'!$E$5:$E$505))</f>
      </c>
      <c r="K10" s="16">
        <f>IF(A10="","",SUMIF('Registro de gastos'!$B$5:$B$505,A10,'Registro de gastos'!$H$5:$H$505))</f>
      </c>
      <c r="L10" s="16">
        <f>IF(A10="","",SUMIFS('Registro de gastos'!$H$5:$H$505,'Registro de gastos'!$B$5:$B$505,A10,'Registro de gastos'!$C$5:$C$505,"Compra de lechones"))</f>
      </c>
      <c r="M10" s="16">
        <f>IF(A10="","",SUMIF('Registro de ingresos'!$B$5:$B$505,A10,'Registro de ingresos'!$I$5:$I$505))</f>
      </c>
      <c r="N10" s="16">
        <f>IF(A10="","",IF(M10=0,"sin ventas todavía",M10-K10))</f>
      </c>
    </row>
    <row r="11" spans="1:14" x14ac:dyDescent="0.25">
      <c r="A11" s="18"/>
      <c r="B11" s="17"/>
      <c r="C11" s="17"/>
      <c r="D11" s="22"/>
      <c r="E11" s="22"/>
      <c r="F11" s="26"/>
      <c r="G11" s="22"/>
      <c r="H11" s="24">
        <f>IF(A11="","",IF(D11="","falta dato",D11-IF(E11="",0,E11)))</f>
      </c>
      <c r="I11" s="24">
        <f>IF(A11="","",IF(OR(B11="",C11=""),"falta dato",C11-B11))</f>
      </c>
      <c r="J11" s="25">
        <f>IF(A11="","",SUMIF('Registro de ingresos'!$B$5:$B$505,A11,'Registro de ingresos'!$E$5:$E$505))</f>
      </c>
      <c r="K11" s="16">
        <f>IF(A11="","",SUMIF('Registro de gastos'!$B$5:$B$505,A11,'Registro de gastos'!$H$5:$H$505))</f>
      </c>
      <c r="L11" s="16">
        <f>IF(A11="","",SUMIFS('Registro de gastos'!$H$5:$H$505,'Registro de gastos'!$B$5:$B$505,A11,'Registro de gastos'!$C$5:$C$505,"Compra de lechones"))</f>
      </c>
      <c r="M11" s="16">
        <f>IF(A11="","",SUMIF('Registro de ingresos'!$B$5:$B$505,A11,'Registro de ingresos'!$I$5:$I$505))</f>
      </c>
      <c r="N11" s="16">
        <f>IF(A11="","",IF(M11=0,"sin ventas todavía",M11-K11))</f>
      </c>
    </row>
    <row r="12" spans="1:14" x14ac:dyDescent="0.25">
      <c r="A12" s="18"/>
      <c r="B12" s="17"/>
      <c r="C12" s="17"/>
      <c r="D12" s="22"/>
      <c r="E12" s="22"/>
      <c r="F12" s="26"/>
      <c r="G12" s="22"/>
      <c r="H12" s="24">
        <f>IF(A12="","",IF(D12="","falta dato",D12-IF(E12="",0,E12)))</f>
      </c>
      <c r="I12" s="24">
        <f>IF(A12="","",IF(OR(B12="",C12=""),"falta dato",C12-B12))</f>
      </c>
      <c r="J12" s="25">
        <f>IF(A12="","",SUMIF('Registro de ingresos'!$B$5:$B$505,A12,'Registro de ingresos'!$E$5:$E$505))</f>
      </c>
      <c r="K12" s="16">
        <f>IF(A12="","",SUMIF('Registro de gastos'!$B$5:$B$505,A12,'Registro de gastos'!$H$5:$H$505))</f>
      </c>
      <c r="L12" s="16">
        <f>IF(A12="","",SUMIFS('Registro de gastos'!$H$5:$H$505,'Registro de gastos'!$B$5:$B$505,A12,'Registro de gastos'!$C$5:$C$505,"Compra de lechones"))</f>
      </c>
      <c r="M12" s="16">
        <f>IF(A12="","",SUMIF('Registro de ingresos'!$B$5:$B$505,A12,'Registro de ingresos'!$I$5:$I$505))</f>
      </c>
      <c r="N12" s="16">
        <f>IF(A12="","",IF(M12=0,"sin ventas todavía",M12-K12))</f>
      </c>
    </row>
    <row r="13" spans="1:14" x14ac:dyDescent="0.25">
      <c r="A13" s="18"/>
      <c r="B13" s="17"/>
      <c r="C13" s="17"/>
      <c r="D13" s="22"/>
      <c r="E13" s="22"/>
      <c r="F13" s="26"/>
      <c r="G13" s="22"/>
      <c r="H13" s="24">
        <f>IF(A13="","",IF(D13="","falta dato",D13-IF(E13="",0,E13)))</f>
      </c>
      <c r="I13" s="24">
        <f>IF(A13="","",IF(OR(B13="",C13=""),"falta dato",C13-B13))</f>
      </c>
      <c r="J13" s="25">
        <f>IF(A13="","",SUMIF('Registro de ingresos'!$B$5:$B$505,A13,'Registro de ingresos'!$E$5:$E$505))</f>
      </c>
      <c r="K13" s="16">
        <f>IF(A13="","",SUMIF('Registro de gastos'!$B$5:$B$505,A13,'Registro de gastos'!$H$5:$H$505))</f>
      </c>
      <c r="L13" s="16">
        <f>IF(A13="","",SUMIFS('Registro de gastos'!$H$5:$H$505,'Registro de gastos'!$B$5:$B$505,A13,'Registro de gastos'!$C$5:$C$505,"Compra de lechones"))</f>
      </c>
      <c r="M13" s="16">
        <f>IF(A13="","",SUMIF('Registro de ingresos'!$B$5:$B$505,A13,'Registro de ingresos'!$I$5:$I$505))</f>
      </c>
      <c r="N13" s="16">
        <f>IF(A13="","",IF(M13=0,"sin ventas todavía",M13-K13))</f>
      </c>
    </row>
    <row r="14" spans="1:14" x14ac:dyDescent="0.25">
      <c r="A14" s="18"/>
      <c r="B14" s="17"/>
      <c r="C14" s="17"/>
      <c r="D14" s="22"/>
      <c r="E14" s="22"/>
      <c r="F14" s="26"/>
      <c r="G14" s="22"/>
      <c r="H14" s="24">
        <f>IF(A14="","",IF(D14="","falta dato",D14-IF(E14="",0,E14)))</f>
      </c>
      <c r="I14" s="24">
        <f>IF(A14="","",IF(OR(B14="",C14=""),"falta dato",C14-B14))</f>
      </c>
      <c r="J14" s="25">
        <f>IF(A14="","",SUMIF('Registro de ingresos'!$B$5:$B$505,A14,'Registro de ingresos'!$E$5:$E$505))</f>
      </c>
      <c r="K14" s="16">
        <f>IF(A14="","",SUMIF('Registro de gastos'!$B$5:$B$505,A14,'Registro de gastos'!$H$5:$H$505))</f>
      </c>
      <c r="L14" s="16">
        <f>IF(A14="","",SUMIFS('Registro de gastos'!$H$5:$H$505,'Registro de gastos'!$B$5:$B$505,A14,'Registro de gastos'!$C$5:$C$505,"Compra de lechones"))</f>
      </c>
      <c r="M14" s="16">
        <f>IF(A14="","",SUMIF('Registro de ingresos'!$B$5:$B$505,A14,'Registro de ingresos'!$I$5:$I$505))</f>
      </c>
      <c r="N14" s="16">
        <f>IF(A14="","",IF(M14=0,"sin ventas todavía",M14-K14))</f>
      </c>
    </row>
    <row r="15" spans="1:14" x14ac:dyDescent="0.25">
      <c r="A15" s="18"/>
      <c r="B15" s="17"/>
      <c r="C15" s="17"/>
      <c r="D15" s="22"/>
      <c r="E15" s="22"/>
      <c r="F15" s="26"/>
      <c r="G15" s="22"/>
      <c r="H15" s="24">
        <f>IF(A15="","",IF(D15="","falta dato",D15-IF(E15="",0,E15)))</f>
      </c>
      <c r="I15" s="24">
        <f>IF(A15="","",IF(OR(B15="",C15=""),"falta dato",C15-B15))</f>
      </c>
      <c r="J15" s="25">
        <f>IF(A15="","",SUMIF('Registro de ingresos'!$B$5:$B$505,A15,'Registro de ingresos'!$E$5:$E$505))</f>
      </c>
      <c r="K15" s="16">
        <f>IF(A15="","",SUMIF('Registro de gastos'!$B$5:$B$505,A15,'Registro de gastos'!$H$5:$H$505))</f>
      </c>
      <c r="L15" s="16">
        <f>IF(A15="","",SUMIFS('Registro de gastos'!$H$5:$H$505,'Registro de gastos'!$B$5:$B$505,A15,'Registro de gastos'!$C$5:$C$505,"Compra de lechones"))</f>
      </c>
      <c r="M15" s="16">
        <f>IF(A15="","",SUMIF('Registro de ingresos'!$B$5:$B$505,A15,'Registro de ingresos'!$I$5:$I$505))</f>
      </c>
      <c r="N15" s="16">
        <f>IF(A15="","",IF(M15=0,"sin ventas todavía",M15-K15))</f>
      </c>
    </row>
    <row r="16" spans="1:14" x14ac:dyDescent="0.25">
      <c r="A16" s="18"/>
      <c r="B16" s="17"/>
      <c r="C16" s="17"/>
      <c r="D16" s="22"/>
      <c r="E16" s="22"/>
      <c r="F16" s="26"/>
      <c r="G16" s="22"/>
      <c r="H16" s="24">
        <f>IF(A16="","",IF(D16="","falta dato",D16-IF(E16="",0,E16)))</f>
      </c>
      <c r="I16" s="24">
        <f>IF(A16="","",IF(OR(B16="",C16=""),"falta dato",C16-B16))</f>
      </c>
      <c r="J16" s="25">
        <f>IF(A16="","",SUMIF('Registro de ingresos'!$B$5:$B$505,A16,'Registro de ingresos'!$E$5:$E$505))</f>
      </c>
      <c r="K16" s="16">
        <f>IF(A16="","",SUMIF('Registro de gastos'!$B$5:$B$505,A16,'Registro de gastos'!$H$5:$H$505))</f>
      </c>
      <c r="L16" s="16">
        <f>IF(A16="","",SUMIFS('Registro de gastos'!$H$5:$H$505,'Registro de gastos'!$B$5:$B$505,A16,'Registro de gastos'!$C$5:$C$505,"Compra de lechones"))</f>
      </c>
      <c r="M16" s="16">
        <f>IF(A16="","",SUMIF('Registro de ingresos'!$B$5:$B$505,A16,'Registro de ingresos'!$I$5:$I$505))</f>
      </c>
      <c r="N16" s="16">
        <f>IF(A16="","",IF(M16=0,"sin ventas todavía",M16-K16))</f>
      </c>
    </row>
    <row r="17" spans="1:14" x14ac:dyDescent="0.25">
      <c r="A17" s="18"/>
      <c r="B17" s="17"/>
      <c r="C17" s="17"/>
      <c r="D17" s="22"/>
      <c r="E17" s="22"/>
      <c r="F17" s="26"/>
      <c r="G17" s="22"/>
      <c r="H17" s="24">
        <f>IF(A17="","",IF(D17="","falta dato",D17-IF(E17="",0,E17)))</f>
      </c>
      <c r="I17" s="24">
        <f>IF(A17="","",IF(OR(B17="",C17=""),"falta dato",C17-B17))</f>
      </c>
      <c r="J17" s="25">
        <f>IF(A17="","",SUMIF('Registro de ingresos'!$B$5:$B$505,A17,'Registro de ingresos'!$E$5:$E$505))</f>
      </c>
      <c r="K17" s="16">
        <f>IF(A17="","",SUMIF('Registro de gastos'!$B$5:$B$505,A17,'Registro de gastos'!$H$5:$H$505))</f>
      </c>
      <c r="L17" s="16">
        <f>IF(A17="","",SUMIFS('Registro de gastos'!$H$5:$H$505,'Registro de gastos'!$B$5:$B$505,A17,'Registro de gastos'!$C$5:$C$505,"Compra de lechones"))</f>
      </c>
      <c r="M17" s="16">
        <f>IF(A17="","",SUMIF('Registro de ingresos'!$B$5:$B$505,A17,'Registro de ingresos'!$I$5:$I$505))</f>
      </c>
      <c r="N17" s="16">
        <f>IF(A17="","",IF(M17=0,"sin ventas todavía",M17-K17))</f>
      </c>
    </row>
    <row r="18" spans="1:14" x14ac:dyDescent="0.25">
      <c r="A18" s="18"/>
      <c r="B18" s="17"/>
      <c r="C18" s="17"/>
      <c r="D18" s="22"/>
      <c r="E18" s="22"/>
      <c r="F18" s="26"/>
      <c r="G18" s="22"/>
      <c r="H18" s="24">
        <f>IF(A18="","",IF(D18="","falta dato",D18-IF(E18="",0,E18)))</f>
      </c>
      <c r="I18" s="24">
        <f>IF(A18="","",IF(OR(B18="",C18=""),"falta dato",C18-B18))</f>
      </c>
      <c r="J18" s="25">
        <f>IF(A18="","",SUMIF('Registro de ingresos'!$B$5:$B$505,A18,'Registro de ingresos'!$E$5:$E$505))</f>
      </c>
      <c r="K18" s="16">
        <f>IF(A18="","",SUMIF('Registro de gastos'!$B$5:$B$505,A18,'Registro de gastos'!$H$5:$H$505))</f>
      </c>
      <c r="L18" s="16">
        <f>IF(A18="","",SUMIFS('Registro de gastos'!$H$5:$H$505,'Registro de gastos'!$B$5:$B$505,A18,'Registro de gastos'!$C$5:$C$505,"Compra de lechones"))</f>
      </c>
      <c r="M18" s="16">
        <f>IF(A18="","",SUMIF('Registro de ingresos'!$B$5:$B$505,A18,'Registro de ingresos'!$I$5:$I$505))</f>
      </c>
      <c r="N18" s="16">
        <f>IF(A18="","",IF(M18=0,"sin ventas todavía",M18-K18))</f>
      </c>
    </row>
    <row r="19" spans="1:14" x14ac:dyDescent="0.25">
      <c r="A19" s="18"/>
      <c r="B19" s="17"/>
      <c r="C19" s="17"/>
      <c r="D19" s="22"/>
      <c r="E19" s="22"/>
      <c r="F19" s="26"/>
      <c r="G19" s="22"/>
      <c r="H19" s="24">
        <f>IF(A19="","",IF(D19="","falta dato",D19-IF(E19="",0,E19)))</f>
      </c>
      <c r="I19" s="24">
        <f>IF(A19="","",IF(OR(B19="",C19=""),"falta dato",C19-B19))</f>
      </c>
      <c r="J19" s="25">
        <f>IF(A19="","",SUMIF('Registro de ingresos'!$B$5:$B$505,A19,'Registro de ingresos'!$E$5:$E$505))</f>
      </c>
      <c r="K19" s="16">
        <f>IF(A19="","",SUMIF('Registro de gastos'!$B$5:$B$505,A19,'Registro de gastos'!$H$5:$H$505))</f>
      </c>
      <c r="L19" s="16">
        <f>IF(A19="","",SUMIFS('Registro de gastos'!$H$5:$H$505,'Registro de gastos'!$B$5:$B$505,A19,'Registro de gastos'!$C$5:$C$505,"Compra de lechones"))</f>
      </c>
      <c r="M19" s="16">
        <f>IF(A19="","",SUMIF('Registro de ingresos'!$B$5:$B$505,A19,'Registro de ingresos'!$I$5:$I$505))</f>
      </c>
      <c r="N19" s="16">
        <f>IF(A19="","",IF(M19=0,"sin ventas todavía",M19-K19))</f>
      </c>
    </row>
    <row r="20" spans="1:14" x14ac:dyDescent="0.25">
      <c r="A20" s="18"/>
      <c r="B20" s="17"/>
      <c r="C20" s="17"/>
      <c r="D20" s="22"/>
      <c r="E20" s="22"/>
      <c r="F20" s="26"/>
      <c r="G20" s="22"/>
      <c r="H20" s="24">
        <f>IF(A20="","",IF(D20="","falta dato",D20-IF(E20="",0,E20)))</f>
      </c>
      <c r="I20" s="24">
        <f>IF(A20="","",IF(OR(B20="",C20=""),"falta dato",C20-B20))</f>
      </c>
      <c r="J20" s="25">
        <f>IF(A20="","",SUMIF('Registro de ingresos'!$B$5:$B$505,A20,'Registro de ingresos'!$E$5:$E$505))</f>
      </c>
      <c r="K20" s="16">
        <f>IF(A20="","",SUMIF('Registro de gastos'!$B$5:$B$505,A20,'Registro de gastos'!$H$5:$H$505))</f>
      </c>
      <c r="L20" s="16">
        <f>IF(A20="","",SUMIFS('Registro de gastos'!$H$5:$H$505,'Registro de gastos'!$B$5:$B$505,A20,'Registro de gastos'!$C$5:$C$505,"Compra de lechones"))</f>
      </c>
      <c r="M20" s="16">
        <f>IF(A20="","",SUMIF('Registro de ingresos'!$B$5:$B$505,A20,'Registro de ingresos'!$I$5:$I$505))</f>
      </c>
      <c r="N20" s="16">
        <f>IF(A20="","",IF(M20=0,"sin ventas todavía",M20-K20))</f>
      </c>
    </row>
    <row r="21" spans="1:14" x14ac:dyDescent="0.25">
      <c r="A21" s="18"/>
      <c r="B21" s="17"/>
      <c r="C21" s="17"/>
      <c r="D21" s="22"/>
      <c r="E21" s="22"/>
      <c r="F21" s="26"/>
      <c r="G21" s="22"/>
      <c r="H21" s="24">
        <f>IF(A21="","",IF(D21="","falta dato",D21-IF(E21="",0,E21)))</f>
      </c>
      <c r="I21" s="24">
        <f>IF(A21="","",IF(OR(B21="",C21=""),"falta dato",C21-B21))</f>
      </c>
      <c r="J21" s="25">
        <f>IF(A21="","",SUMIF('Registro de ingresos'!$B$5:$B$505,A21,'Registro de ingresos'!$E$5:$E$505))</f>
      </c>
      <c r="K21" s="16">
        <f>IF(A21="","",SUMIF('Registro de gastos'!$B$5:$B$505,A21,'Registro de gastos'!$H$5:$H$505))</f>
      </c>
      <c r="L21" s="16">
        <f>IF(A21="","",SUMIFS('Registro de gastos'!$H$5:$H$505,'Registro de gastos'!$B$5:$B$505,A21,'Registro de gastos'!$C$5:$C$505,"Compra de lechones"))</f>
      </c>
      <c r="M21" s="16">
        <f>IF(A21="","",SUMIF('Registro de ingresos'!$B$5:$B$505,A21,'Registro de ingresos'!$I$5:$I$505))</f>
      </c>
      <c r="N21" s="16">
        <f>IF(A21="","",IF(M21=0,"sin ventas todavía",M21-K21))</f>
      </c>
    </row>
    <row r="22" spans="1:14" x14ac:dyDescent="0.25">
      <c r="A22" s="18"/>
      <c r="B22" s="17"/>
      <c r="C22" s="17"/>
      <c r="D22" s="22"/>
      <c r="E22" s="22"/>
      <c r="F22" s="26"/>
      <c r="G22" s="22"/>
      <c r="H22" s="24">
        <f>IF(A22="","",IF(D22="","falta dato",D22-IF(E22="",0,E22)))</f>
      </c>
      <c r="I22" s="24">
        <f>IF(A22="","",IF(OR(B22="",C22=""),"falta dato",C22-B22))</f>
      </c>
      <c r="J22" s="25">
        <f>IF(A22="","",SUMIF('Registro de ingresos'!$B$5:$B$505,A22,'Registro de ingresos'!$E$5:$E$505))</f>
      </c>
      <c r="K22" s="16">
        <f>IF(A22="","",SUMIF('Registro de gastos'!$B$5:$B$505,A22,'Registro de gastos'!$H$5:$H$505))</f>
      </c>
      <c r="L22" s="16">
        <f>IF(A22="","",SUMIFS('Registro de gastos'!$H$5:$H$505,'Registro de gastos'!$B$5:$B$505,A22,'Registro de gastos'!$C$5:$C$505,"Compra de lechones"))</f>
      </c>
      <c r="M22" s="16">
        <f>IF(A22="","",SUMIF('Registro de ingresos'!$B$5:$B$505,A22,'Registro de ingresos'!$I$5:$I$505))</f>
      </c>
      <c r="N22" s="16">
        <f>IF(A22="","",IF(M22=0,"sin ventas todavía",M22-K22))</f>
      </c>
    </row>
    <row r="23" spans="1:14" x14ac:dyDescent="0.25">
      <c r="A23" s="18"/>
      <c r="B23" s="17"/>
      <c r="C23" s="17"/>
      <c r="D23" s="22"/>
      <c r="E23" s="22"/>
      <c r="F23" s="26"/>
      <c r="G23" s="22"/>
      <c r="H23" s="24">
        <f>IF(A23="","",IF(D23="","falta dato",D23-IF(E23="",0,E23)))</f>
      </c>
      <c r="I23" s="24">
        <f>IF(A23="","",IF(OR(B23="",C23=""),"falta dato",C23-B23))</f>
      </c>
      <c r="J23" s="25">
        <f>IF(A23="","",SUMIF('Registro de ingresos'!$B$5:$B$505,A23,'Registro de ingresos'!$E$5:$E$505))</f>
      </c>
      <c r="K23" s="16">
        <f>IF(A23="","",SUMIF('Registro de gastos'!$B$5:$B$505,A23,'Registro de gastos'!$H$5:$H$505))</f>
      </c>
      <c r="L23" s="16">
        <f>IF(A23="","",SUMIFS('Registro de gastos'!$H$5:$H$505,'Registro de gastos'!$B$5:$B$505,A23,'Registro de gastos'!$C$5:$C$505,"Compra de lechones"))</f>
      </c>
      <c r="M23" s="16">
        <f>IF(A23="","",SUMIF('Registro de ingresos'!$B$5:$B$505,A23,'Registro de ingresos'!$I$5:$I$505))</f>
      </c>
      <c r="N23" s="16">
        <f>IF(A23="","",IF(M23=0,"sin ventas todavía",M23-K23))</f>
      </c>
    </row>
    <row r="24" spans="1:14" x14ac:dyDescent="0.25">
      <c r="A24" s="18"/>
      <c r="B24" s="17"/>
      <c r="C24" s="17"/>
      <c r="D24" s="22"/>
      <c r="E24" s="22"/>
      <c r="F24" s="26"/>
      <c r="G24" s="22"/>
      <c r="H24" s="24">
        <f>IF(A24="","",IF(D24="","falta dato",D24-IF(E24="",0,E24)))</f>
      </c>
      <c r="I24" s="24">
        <f>IF(A24="","",IF(OR(B24="",C24=""),"falta dato",C24-B24))</f>
      </c>
      <c r="J24" s="25">
        <f>IF(A24="","",SUMIF('Registro de ingresos'!$B$5:$B$505,A24,'Registro de ingresos'!$E$5:$E$505))</f>
      </c>
      <c r="K24" s="16">
        <f>IF(A24="","",SUMIF('Registro de gastos'!$B$5:$B$505,A24,'Registro de gastos'!$H$5:$H$505))</f>
      </c>
      <c r="L24" s="16">
        <f>IF(A24="","",SUMIFS('Registro de gastos'!$H$5:$H$505,'Registro de gastos'!$B$5:$B$505,A24,'Registro de gastos'!$C$5:$C$505,"Compra de lechones"))</f>
      </c>
      <c r="M24" s="16">
        <f>IF(A24="","",SUMIF('Registro de ingresos'!$B$5:$B$505,A24,'Registro de ingresos'!$I$5:$I$505))</f>
      </c>
      <c r="N24" s="16">
        <f>IF(A24="","",IF(M24=0,"sin ventas todavía",M24-K24))</f>
      </c>
    </row>
    <row r="25" spans="1:14" x14ac:dyDescent="0.25">
      <c r="A25" s="18"/>
      <c r="B25" s="17"/>
      <c r="C25" s="17"/>
      <c r="D25" s="22"/>
      <c r="E25" s="22"/>
      <c r="F25" s="26"/>
      <c r="G25" s="22"/>
      <c r="H25" s="24">
        <f>IF(A25="","",IF(D25="","falta dato",D25-IF(E25="",0,E25)))</f>
      </c>
      <c r="I25" s="24">
        <f>IF(A25="","",IF(OR(B25="",C25=""),"falta dato",C25-B25))</f>
      </c>
      <c r="J25" s="25">
        <f>IF(A25="","",SUMIF('Registro de ingresos'!$B$5:$B$505,A25,'Registro de ingresos'!$E$5:$E$505))</f>
      </c>
      <c r="K25" s="16">
        <f>IF(A25="","",SUMIF('Registro de gastos'!$B$5:$B$505,A25,'Registro de gastos'!$H$5:$H$505))</f>
      </c>
      <c r="L25" s="16">
        <f>IF(A25="","",SUMIFS('Registro de gastos'!$H$5:$H$505,'Registro de gastos'!$B$5:$B$505,A25,'Registro de gastos'!$C$5:$C$505,"Compra de lechones"))</f>
      </c>
      <c r="M25" s="16">
        <f>IF(A25="","",SUMIF('Registro de ingresos'!$B$5:$B$505,A25,'Registro de ingresos'!$I$5:$I$505))</f>
      </c>
      <c r="N25" s="16">
        <f>IF(A25="","",IF(M25=0,"sin ventas todavía",M25-K25))</f>
      </c>
    </row>
    <row r="26" spans="1:14" x14ac:dyDescent="0.25">
      <c r="A26" s="18"/>
      <c r="B26" s="17"/>
      <c r="C26" s="17"/>
      <c r="D26" s="22"/>
      <c r="E26" s="22"/>
      <c r="F26" s="26"/>
      <c r="G26" s="22"/>
      <c r="H26" s="24">
        <f>IF(A26="","",IF(D26="","falta dato",D26-IF(E26="",0,E26)))</f>
      </c>
      <c r="I26" s="24">
        <f>IF(A26="","",IF(OR(B26="",C26=""),"falta dato",C26-B26))</f>
      </c>
      <c r="J26" s="25">
        <f>IF(A26="","",SUMIF('Registro de ingresos'!$B$5:$B$505,A26,'Registro de ingresos'!$E$5:$E$505))</f>
      </c>
      <c r="K26" s="16">
        <f>IF(A26="","",SUMIF('Registro de gastos'!$B$5:$B$505,A26,'Registro de gastos'!$H$5:$H$505))</f>
      </c>
      <c r="L26" s="16">
        <f>IF(A26="","",SUMIFS('Registro de gastos'!$H$5:$H$505,'Registro de gastos'!$B$5:$B$505,A26,'Registro de gastos'!$C$5:$C$505,"Compra de lechones"))</f>
      </c>
      <c r="M26" s="16">
        <f>IF(A26="","",SUMIF('Registro de ingresos'!$B$5:$B$505,A26,'Registro de ingresos'!$I$5:$I$505))</f>
      </c>
      <c r="N26" s="16">
        <f>IF(A26="","",IF(M26=0,"sin ventas todavía",M26-K26))</f>
      </c>
    </row>
    <row r="27" spans="1:14" x14ac:dyDescent="0.25">
      <c r="A27" s="18"/>
      <c r="B27" s="17"/>
      <c r="C27" s="17"/>
      <c r="D27" s="22"/>
      <c r="E27" s="22"/>
      <c r="F27" s="26"/>
      <c r="G27" s="22"/>
      <c r="H27" s="24">
        <f>IF(A27="","",IF(D27="","falta dato",D27-IF(E27="",0,E27)))</f>
      </c>
      <c r="I27" s="24">
        <f>IF(A27="","",IF(OR(B27="",C27=""),"falta dato",C27-B27))</f>
      </c>
      <c r="J27" s="25">
        <f>IF(A27="","",SUMIF('Registro de ingresos'!$B$5:$B$505,A27,'Registro de ingresos'!$E$5:$E$505))</f>
      </c>
      <c r="K27" s="16">
        <f>IF(A27="","",SUMIF('Registro de gastos'!$B$5:$B$505,A27,'Registro de gastos'!$H$5:$H$505))</f>
      </c>
      <c r="L27" s="16">
        <f>IF(A27="","",SUMIFS('Registro de gastos'!$H$5:$H$505,'Registro de gastos'!$B$5:$B$505,A27,'Registro de gastos'!$C$5:$C$505,"Compra de lechones"))</f>
      </c>
      <c r="M27" s="16">
        <f>IF(A27="","",SUMIF('Registro de ingresos'!$B$5:$B$505,A27,'Registro de ingresos'!$I$5:$I$505))</f>
      </c>
      <c r="N27" s="16">
        <f>IF(A27="","",IF(M27=0,"sin ventas todavía",M27-K27))</f>
      </c>
    </row>
    <row r="28" spans="1:14" x14ac:dyDescent="0.25">
      <c r="A28" s="18"/>
      <c r="B28" s="17"/>
      <c r="C28" s="17"/>
      <c r="D28" s="22"/>
      <c r="E28" s="22"/>
      <c r="F28" s="26"/>
      <c r="G28" s="22"/>
      <c r="H28" s="24">
        <f>IF(A28="","",IF(D28="","falta dato",D28-IF(E28="",0,E28)))</f>
      </c>
      <c r="I28" s="24">
        <f>IF(A28="","",IF(OR(B28="",C28=""),"falta dato",C28-B28))</f>
      </c>
      <c r="J28" s="25">
        <f>IF(A28="","",SUMIF('Registro de ingresos'!$B$5:$B$505,A28,'Registro de ingresos'!$E$5:$E$505))</f>
      </c>
      <c r="K28" s="16">
        <f>IF(A28="","",SUMIF('Registro de gastos'!$B$5:$B$505,A28,'Registro de gastos'!$H$5:$H$505))</f>
      </c>
      <c r="L28" s="16">
        <f>IF(A28="","",SUMIFS('Registro de gastos'!$H$5:$H$505,'Registro de gastos'!$B$5:$B$505,A28,'Registro de gastos'!$C$5:$C$505,"Compra de lechones"))</f>
      </c>
      <c r="M28" s="16">
        <f>IF(A28="","",SUMIF('Registro de ingresos'!$B$5:$B$505,A28,'Registro de ingresos'!$I$5:$I$505))</f>
      </c>
      <c r="N28" s="16">
        <f>IF(A28="","",IF(M28=0,"sin ventas todavía",M28-K28))</f>
      </c>
    </row>
    <row r="29" spans="1:14" x14ac:dyDescent="0.25">
      <c r="A29" s="18"/>
      <c r="B29" s="17"/>
      <c r="C29" s="17"/>
      <c r="D29" s="22"/>
      <c r="E29" s="22"/>
      <c r="F29" s="26"/>
      <c r="G29" s="22"/>
      <c r="H29" s="24">
        <f>IF(A29="","",IF(D29="","falta dato",D29-IF(E29="",0,E29)))</f>
      </c>
      <c r="I29" s="24">
        <f>IF(A29="","",IF(OR(B29="",C29=""),"falta dato",C29-B29))</f>
      </c>
      <c r="J29" s="25">
        <f>IF(A29="","",SUMIF('Registro de ingresos'!$B$5:$B$505,A29,'Registro de ingresos'!$E$5:$E$505))</f>
      </c>
      <c r="K29" s="16">
        <f>IF(A29="","",SUMIF('Registro de gastos'!$B$5:$B$505,A29,'Registro de gastos'!$H$5:$H$505))</f>
      </c>
      <c r="L29" s="16">
        <f>IF(A29="","",SUMIFS('Registro de gastos'!$H$5:$H$505,'Registro de gastos'!$B$5:$B$505,A29,'Registro de gastos'!$C$5:$C$505,"Compra de lechones"))</f>
      </c>
      <c r="M29" s="16">
        <f>IF(A29="","",SUMIF('Registro de ingresos'!$B$5:$B$505,A29,'Registro de ingresos'!$I$5:$I$505))</f>
      </c>
      <c r="N29" s="16">
        <f>IF(A29="","",IF(M29=0,"sin ventas todavía",M29-K29))</f>
      </c>
    </row>
    <row r="30" spans="1:14" x14ac:dyDescent="0.25">
      <c r="A30" s="18"/>
      <c r="B30" s="17"/>
      <c r="C30" s="17"/>
      <c r="D30" s="22"/>
      <c r="E30" s="22"/>
      <c r="F30" s="26"/>
      <c r="G30" s="22"/>
      <c r="H30" s="24">
        <f>IF(A30="","",IF(D30="","falta dato",D30-IF(E30="",0,E30)))</f>
      </c>
      <c r="I30" s="24">
        <f>IF(A30="","",IF(OR(B30="",C30=""),"falta dato",C30-B30))</f>
      </c>
      <c r="J30" s="25">
        <f>IF(A30="","",SUMIF('Registro de ingresos'!$B$5:$B$505,A30,'Registro de ingresos'!$E$5:$E$505))</f>
      </c>
      <c r="K30" s="16">
        <f>IF(A30="","",SUMIF('Registro de gastos'!$B$5:$B$505,A30,'Registro de gastos'!$H$5:$H$505))</f>
      </c>
      <c r="L30" s="16">
        <f>IF(A30="","",SUMIFS('Registro de gastos'!$H$5:$H$505,'Registro de gastos'!$B$5:$B$505,A30,'Registro de gastos'!$C$5:$C$505,"Compra de lechones"))</f>
      </c>
      <c r="M30" s="16">
        <f>IF(A30="","",SUMIF('Registro de ingresos'!$B$5:$B$505,A30,'Registro de ingresos'!$I$5:$I$505))</f>
      </c>
      <c r="N30" s="16">
        <f>IF(A30="","",IF(M30=0,"sin ventas todavía",M30-K30))</f>
      </c>
    </row>
    <row r="31" spans="1:14" x14ac:dyDescent="0.25">
      <c r="A31" s="18"/>
      <c r="B31" s="17"/>
      <c r="C31" s="17"/>
      <c r="D31" s="22"/>
      <c r="E31" s="22"/>
      <c r="F31" s="26"/>
      <c r="G31" s="22"/>
      <c r="H31" s="24">
        <f>IF(A31="","",IF(D31="","falta dato",D31-IF(E31="",0,E31)))</f>
      </c>
      <c r="I31" s="24">
        <f>IF(A31="","",IF(OR(B31="",C31=""),"falta dato",C31-B31))</f>
      </c>
      <c r="J31" s="25">
        <f>IF(A31="","",SUMIF('Registro de ingresos'!$B$5:$B$505,A31,'Registro de ingresos'!$E$5:$E$505))</f>
      </c>
      <c r="K31" s="16">
        <f>IF(A31="","",SUMIF('Registro de gastos'!$B$5:$B$505,A31,'Registro de gastos'!$H$5:$H$505))</f>
      </c>
      <c r="L31" s="16">
        <f>IF(A31="","",SUMIFS('Registro de gastos'!$H$5:$H$505,'Registro de gastos'!$B$5:$B$505,A31,'Registro de gastos'!$C$5:$C$505,"Compra de lechones"))</f>
      </c>
      <c r="M31" s="16">
        <f>IF(A31="","",SUMIF('Registro de ingresos'!$B$5:$B$505,A31,'Registro de ingresos'!$I$5:$I$505))</f>
      </c>
      <c r="N31" s="16">
        <f>IF(A31="","",IF(M31=0,"sin ventas todavía",M31-K31))</f>
      </c>
    </row>
    <row r="32" spans="1:14" x14ac:dyDescent="0.25">
      <c r="A32" s="18"/>
      <c r="B32" s="17"/>
      <c r="C32" s="17"/>
      <c r="D32" s="22"/>
      <c r="E32" s="22"/>
      <c r="F32" s="26"/>
      <c r="G32" s="22"/>
      <c r="H32" s="24">
        <f>IF(A32="","",IF(D32="","falta dato",D32-IF(E32="",0,E32)))</f>
      </c>
      <c r="I32" s="24">
        <f>IF(A32="","",IF(OR(B32="",C32=""),"falta dato",C32-B32))</f>
      </c>
      <c r="J32" s="25">
        <f>IF(A32="","",SUMIF('Registro de ingresos'!$B$5:$B$505,A32,'Registro de ingresos'!$E$5:$E$505))</f>
      </c>
      <c r="K32" s="16">
        <f>IF(A32="","",SUMIF('Registro de gastos'!$B$5:$B$505,A32,'Registro de gastos'!$H$5:$H$505))</f>
      </c>
      <c r="L32" s="16">
        <f>IF(A32="","",SUMIFS('Registro de gastos'!$H$5:$H$505,'Registro de gastos'!$B$5:$B$505,A32,'Registro de gastos'!$C$5:$C$505,"Compra de lechones"))</f>
      </c>
      <c r="M32" s="16">
        <f>IF(A32="","",SUMIF('Registro de ingresos'!$B$5:$B$505,A32,'Registro de ingresos'!$I$5:$I$505))</f>
      </c>
      <c r="N32" s="16">
        <f>IF(A32="","",IF(M32=0,"sin ventas todavía",M32-K32))</f>
      </c>
    </row>
    <row r="33" spans="1:14" x14ac:dyDescent="0.25">
      <c r="A33" s="18"/>
      <c r="B33" s="17"/>
      <c r="C33" s="17"/>
      <c r="D33" s="22"/>
      <c r="E33" s="22"/>
      <c r="F33" s="26"/>
      <c r="G33" s="22"/>
      <c r="H33" s="24">
        <f>IF(A33="","",IF(D33="","falta dato",D33-IF(E33="",0,E33)))</f>
      </c>
      <c r="I33" s="24">
        <f>IF(A33="","",IF(OR(B33="",C33=""),"falta dato",C33-B33))</f>
      </c>
      <c r="J33" s="25">
        <f>IF(A33="","",SUMIF('Registro de ingresos'!$B$5:$B$505,A33,'Registro de ingresos'!$E$5:$E$505))</f>
      </c>
      <c r="K33" s="16">
        <f>IF(A33="","",SUMIF('Registro de gastos'!$B$5:$B$505,A33,'Registro de gastos'!$H$5:$H$505))</f>
      </c>
      <c r="L33" s="16">
        <f>IF(A33="","",SUMIFS('Registro de gastos'!$H$5:$H$505,'Registro de gastos'!$B$5:$B$505,A33,'Registro de gastos'!$C$5:$C$505,"Compra de lechones"))</f>
      </c>
      <c r="M33" s="16">
        <f>IF(A33="","",SUMIF('Registro de ingresos'!$B$5:$B$505,A33,'Registro de ingresos'!$I$5:$I$505))</f>
      </c>
      <c r="N33" s="16">
        <f>IF(A33="","",IF(M33=0,"sin ventas todavía",M33-K33))</f>
      </c>
    </row>
    <row r="34" spans="1:14" x14ac:dyDescent="0.25">
      <c r="A34" s="18"/>
      <c r="B34" s="17"/>
      <c r="C34" s="17"/>
      <c r="D34" s="22"/>
      <c r="E34" s="22"/>
      <c r="F34" s="26"/>
      <c r="G34" s="22"/>
      <c r="H34" s="24">
        <f>IF(A34="","",IF(D34="","falta dato",D34-IF(E34="",0,E34)))</f>
      </c>
      <c r="I34" s="24">
        <f>IF(A34="","",IF(OR(B34="",C34=""),"falta dato",C34-B34))</f>
      </c>
      <c r="J34" s="25">
        <f>IF(A34="","",SUMIF('Registro de ingresos'!$B$5:$B$505,A34,'Registro de ingresos'!$E$5:$E$505))</f>
      </c>
      <c r="K34" s="16">
        <f>IF(A34="","",SUMIF('Registro de gastos'!$B$5:$B$505,A34,'Registro de gastos'!$H$5:$H$505))</f>
      </c>
      <c r="L34" s="16">
        <f>IF(A34="","",SUMIFS('Registro de gastos'!$H$5:$H$505,'Registro de gastos'!$B$5:$B$505,A34,'Registro de gastos'!$C$5:$C$505,"Compra de lechones"))</f>
      </c>
      <c r="M34" s="16">
        <f>IF(A34="","",SUMIF('Registro de ingresos'!$B$5:$B$505,A34,'Registro de ingresos'!$I$5:$I$505))</f>
      </c>
      <c r="N34" s="16">
        <f>IF(A34="","",IF(M34=0,"sin ventas todavía",M34-K34))</f>
      </c>
    </row>
    <row r="35" spans="1:14" x14ac:dyDescent="0.25">
      <c r="A35" s="18"/>
      <c r="B35" s="17"/>
      <c r="C35" s="17"/>
      <c r="D35" s="22"/>
      <c r="E35" s="22"/>
      <c r="F35" s="26"/>
      <c r="G35" s="22"/>
      <c r="H35" s="24">
        <f>IF(A35="","",IF(D35="","falta dato",D35-IF(E35="",0,E35)))</f>
      </c>
      <c r="I35" s="24">
        <f>IF(A35="","",IF(OR(B35="",C35=""),"falta dato",C35-B35))</f>
      </c>
      <c r="J35" s="25">
        <f>IF(A35="","",SUMIF('Registro de ingresos'!$B$5:$B$505,A35,'Registro de ingresos'!$E$5:$E$505))</f>
      </c>
      <c r="K35" s="16">
        <f>IF(A35="","",SUMIF('Registro de gastos'!$B$5:$B$505,A35,'Registro de gastos'!$H$5:$H$505))</f>
      </c>
      <c r="L35" s="16">
        <f>IF(A35="","",SUMIFS('Registro de gastos'!$H$5:$H$505,'Registro de gastos'!$B$5:$B$505,A35,'Registro de gastos'!$C$5:$C$505,"Compra de lechones"))</f>
      </c>
      <c r="M35" s="16">
        <f>IF(A35="","",SUMIF('Registro de ingresos'!$B$5:$B$505,A35,'Registro de ingresos'!$I$5:$I$505))</f>
      </c>
      <c r="N35" s="16">
        <f>IF(A35="","",IF(M35=0,"sin ventas todavía",M35-K35))</f>
      </c>
    </row>
    <row r="36" spans="1:14" x14ac:dyDescent="0.25">
      <c r="A36" s="18"/>
      <c r="B36" s="17"/>
      <c r="C36" s="17"/>
      <c r="D36" s="22"/>
      <c r="E36" s="22"/>
      <c r="F36" s="26"/>
      <c r="G36" s="22"/>
      <c r="H36" s="24">
        <f>IF(A36="","",IF(D36="","falta dato",D36-IF(E36="",0,E36)))</f>
      </c>
      <c r="I36" s="24">
        <f>IF(A36="","",IF(OR(B36="",C36=""),"falta dato",C36-B36))</f>
      </c>
      <c r="J36" s="25">
        <f>IF(A36="","",SUMIF('Registro de ingresos'!$B$5:$B$505,A36,'Registro de ingresos'!$E$5:$E$505))</f>
      </c>
      <c r="K36" s="16">
        <f>IF(A36="","",SUMIF('Registro de gastos'!$B$5:$B$505,A36,'Registro de gastos'!$H$5:$H$505))</f>
      </c>
      <c r="L36" s="16">
        <f>IF(A36="","",SUMIFS('Registro de gastos'!$H$5:$H$505,'Registro de gastos'!$B$5:$B$505,A36,'Registro de gastos'!$C$5:$C$505,"Compra de lechones"))</f>
      </c>
      <c r="M36" s="16">
        <f>IF(A36="","",SUMIF('Registro de ingresos'!$B$5:$B$505,A36,'Registro de ingresos'!$I$5:$I$505))</f>
      </c>
      <c r="N36" s="16">
        <f>IF(A36="","",IF(M36=0,"sin ventas todavía",M36-K36))</f>
      </c>
    </row>
    <row r="37" spans="1:14" x14ac:dyDescent="0.25">
      <c r="A37" s="18"/>
      <c r="B37" s="17"/>
      <c r="C37" s="17"/>
      <c r="D37" s="22"/>
      <c r="E37" s="22"/>
      <c r="F37" s="26"/>
      <c r="G37" s="22"/>
      <c r="H37" s="24">
        <f>IF(A37="","",IF(D37="","falta dato",D37-IF(E37="",0,E37)))</f>
      </c>
      <c r="I37" s="24">
        <f>IF(A37="","",IF(OR(B37="",C37=""),"falta dato",C37-B37))</f>
      </c>
      <c r="J37" s="25">
        <f>IF(A37="","",SUMIF('Registro de ingresos'!$B$5:$B$505,A37,'Registro de ingresos'!$E$5:$E$505))</f>
      </c>
      <c r="K37" s="16">
        <f>IF(A37="","",SUMIF('Registro de gastos'!$B$5:$B$505,A37,'Registro de gastos'!$H$5:$H$505))</f>
      </c>
      <c r="L37" s="16">
        <f>IF(A37="","",SUMIFS('Registro de gastos'!$H$5:$H$505,'Registro de gastos'!$B$5:$B$505,A37,'Registro de gastos'!$C$5:$C$505,"Compra de lechones"))</f>
      </c>
      <c r="M37" s="16">
        <f>IF(A37="","",SUMIF('Registro de ingresos'!$B$5:$B$505,A37,'Registro de ingresos'!$I$5:$I$505))</f>
      </c>
      <c r="N37" s="16">
        <f>IF(A37="","",IF(M37=0,"sin ventas todavía",M37-K37))</f>
      </c>
    </row>
    <row r="38" spans="1:14" x14ac:dyDescent="0.25">
      <c r="A38" s="18"/>
      <c r="B38" s="17"/>
      <c r="C38" s="17"/>
      <c r="D38" s="22"/>
      <c r="E38" s="22"/>
      <c r="F38" s="26"/>
      <c r="G38" s="22"/>
      <c r="H38" s="24">
        <f>IF(A38="","",IF(D38="","falta dato",D38-IF(E38="",0,E38)))</f>
      </c>
      <c r="I38" s="24">
        <f>IF(A38="","",IF(OR(B38="",C38=""),"falta dato",C38-B38))</f>
      </c>
      <c r="J38" s="25">
        <f>IF(A38="","",SUMIF('Registro de ingresos'!$B$5:$B$505,A38,'Registro de ingresos'!$E$5:$E$505))</f>
      </c>
      <c r="K38" s="16">
        <f>IF(A38="","",SUMIF('Registro de gastos'!$B$5:$B$505,A38,'Registro de gastos'!$H$5:$H$505))</f>
      </c>
      <c r="L38" s="16">
        <f>IF(A38="","",SUMIFS('Registro de gastos'!$H$5:$H$505,'Registro de gastos'!$B$5:$B$505,A38,'Registro de gastos'!$C$5:$C$505,"Compra de lechones"))</f>
      </c>
      <c r="M38" s="16">
        <f>IF(A38="","",SUMIF('Registro de ingresos'!$B$5:$B$505,A38,'Registro de ingresos'!$I$5:$I$505))</f>
      </c>
      <c r="N38" s="16">
        <f>IF(A38="","",IF(M38=0,"sin ventas todavía",M38-K38))</f>
      </c>
    </row>
    <row r="39" spans="1:14" x14ac:dyDescent="0.25">
      <c r="A39" s="18"/>
      <c r="B39" s="17"/>
      <c r="C39" s="17"/>
      <c r="D39" s="22"/>
      <c r="E39" s="22"/>
      <c r="F39" s="26"/>
      <c r="G39" s="22"/>
      <c r="H39" s="24">
        <f>IF(A39="","",IF(D39="","falta dato",D39-IF(E39="",0,E39)))</f>
      </c>
      <c r="I39" s="24">
        <f>IF(A39="","",IF(OR(B39="",C39=""),"falta dato",C39-B39))</f>
      </c>
      <c r="J39" s="25">
        <f>IF(A39="","",SUMIF('Registro de ingresos'!$B$5:$B$505,A39,'Registro de ingresos'!$E$5:$E$505))</f>
      </c>
      <c r="K39" s="16">
        <f>IF(A39="","",SUMIF('Registro de gastos'!$B$5:$B$505,A39,'Registro de gastos'!$H$5:$H$505))</f>
      </c>
      <c r="L39" s="16">
        <f>IF(A39="","",SUMIFS('Registro de gastos'!$H$5:$H$505,'Registro de gastos'!$B$5:$B$505,A39,'Registro de gastos'!$C$5:$C$505,"Compra de lechones"))</f>
      </c>
      <c r="M39" s="16">
        <f>IF(A39="","",SUMIF('Registro de ingresos'!$B$5:$B$505,A39,'Registro de ingresos'!$I$5:$I$505))</f>
      </c>
      <c r="N39" s="16">
        <f>IF(A39="","",IF(M39=0,"sin ventas todavía",M39-K39))</f>
      </c>
    </row>
    <row r="40" spans="1:14" x14ac:dyDescent="0.25">
      <c r="A40" s="18"/>
      <c r="B40" s="17"/>
      <c r="C40" s="17"/>
      <c r="D40" s="22"/>
      <c r="E40" s="22"/>
      <c r="F40" s="26"/>
      <c r="G40" s="22"/>
      <c r="H40" s="24">
        <f>IF(A40="","",IF(D40="","falta dato",D40-IF(E40="",0,E40)))</f>
      </c>
      <c r="I40" s="24">
        <f>IF(A40="","",IF(OR(B40="",C40=""),"falta dato",C40-B40))</f>
      </c>
      <c r="J40" s="25">
        <f>IF(A40="","",SUMIF('Registro de ingresos'!$B$5:$B$505,A40,'Registro de ingresos'!$E$5:$E$505))</f>
      </c>
      <c r="K40" s="16">
        <f>IF(A40="","",SUMIF('Registro de gastos'!$B$5:$B$505,A40,'Registro de gastos'!$H$5:$H$505))</f>
      </c>
      <c r="L40" s="16">
        <f>IF(A40="","",SUMIFS('Registro de gastos'!$H$5:$H$505,'Registro de gastos'!$B$5:$B$505,A40,'Registro de gastos'!$C$5:$C$505,"Compra de lechones"))</f>
      </c>
      <c r="M40" s="16">
        <f>IF(A40="","",SUMIF('Registro de ingresos'!$B$5:$B$505,A40,'Registro de ingresos'!$I$5:$I$505))</f>
      </c>
      <c r="N40" s="16">
        <f>IF(A40="","",IF(M40=0,"sin ventas todavía",M40-K40))</f>
      </c>
    </row>
    <row r="41" spans="1:14" x14ac:dyDescent="0.25">
      <c r="A41" s="18"/>
      <c r="B41" s="17"/>
      <c r="C41" s="17"/>
      <c r="D41" s="22"/>
      <c r="E41" s="22"/>
      <c r="F41" s="26"/>
      <c r="G41" s="22"/>
      <c r="H41" s="24">
        <f>IF(A41="","",IF(D41="","falta dato",D41-IF(E41="",0,E41)))</f>
      </c>
      <c r="I41" s="24">
        <f>IF(A41="","",IF(OR(B41="",C41=""),"falta dato",C41-B41))</f>
      </c>
      <c r="J41" s="25">
        <f>IF(A41="","",SUMIF('Registro de ingresos'!$B$5:$B$505,A41,'Registro de ingresos'!$E$5:$E$505))</f>
      </c>
      <c r="K41" s="16">
        <f>IF(A41="","",SUMIF('Registro de gastos'!$B$5:$B$505,A41,'Registro de gastos'!$H$5:$H$505))</f>
      </c>
      <c r="L41" s="16">
        <f>IF(A41="","",SUMIFS('Registro de gastos'!$H$5:$H$505,'Registro de gastos'!$B$5:$B$505,A41,'Registro de gastos'!$C$5:$C$505,"Compra de lechones"))</f>
      </c>
      <c r="M41" s="16">
        <f>IF(A41="","",SUMIF('Registro de ingresos'!$B$5:$B$505,A41,'Registro de ingresos'!$I$5:$I$505))</f>
      </c>
      <c r="N41" s="16">
        <f>IF(A41="","",IF(M41=0,"sin ventas todavía",M41-K41))</f>
      </c>
    </row>
    <row r="42" spans="1:14" x14ac:dyDescent="0.25">
      <c r="A42" s="18"/>
      <c r="B42" s="17"/>
      <c r="C42" s="17"/>
      <c r="D42" s="22"/>
      <c r="E42" s="22"/>
      <c r="F42" s="26"/>
      <c r="G42" s="22"/>
      <c r="H42" s="24">
        <f>IF(A42="","",IF(D42="","falta dato",D42-IF(E42="",0,E42)))</f>
      </c>
      <c r="I42" s="24">
        <f>IF(A42="","",IF(OR(B42="",C42=""),"falta dato",C42-B42))</f>
      </c>
      <c r="J42" s="25">
        <f>IF(A42="","",SUMIF('Registro de ingresos'!$B$5:$B$505,A42,'Registro de ingresos'!$E$5:$E$505))</f>
      </c>
      <c r="K42" s="16">
        <f>IF(A42="","",SUMIF('Registro de gastos'!$B$5:$B$505,A42,'Registro de gastos'!$H$5:$H$505))</f>
      </c>
      <c r="L42" s="16">
        <f>IF(A42="","",SUMIFS('Registro de gastos'!$H$5:$H$505,'Registro de gastos'!$B$5:$B$505,A42,'Registro de gastos'!$C$5:$C$505,"Compra de lechones"))</f>
      </c>
      <c r="M42" s="16">
        <f>IF(A42="","",SUMIF('Registro de ingresos'!$B$5:$B$505,A42,'Registro de ingresos'!$I$5:$I$505))</f>
      </c>
      <c r="N42" s="16">
        <f>IF(A42="","",IF(M42=0,"sin ventas todavía",M42-K42))</f>
      </c>
    </row>
    <row r="43" spans="1:14" x14ac:dyDescent="0.25">
      <c r="A43" s="18"/>
      <c r="B43" s="17"/>
      <c r="C43" s="17"/>
      <c r="D43" s="22"/>
      <c r="E43" s="22"/>
      <c r="F43" s="26"/>
      <c r="G43" s="22"/>
      <c r="H43" s="24">
        <f>IF(A43="","",IF(D43="","falta dato",D43-IF(E43="",0,E43)))</f>
      </c>
      <c r="I43" s="24">
        <f>IF(A43="","",IF(OR(B43="",C43=""),"falta dato",C43-B43))</f>
      </c>
      <c r="J43" s="25">
        <f>IF(A43="","",SUMIF('Registro de ingresos'!$B$5:$B$505,A43,'Registro de ingresos'!$E$5:$E$505))</f>
      </c>
      <c r="K43" s="16">
        <f>IF(A43="","",SUMIF('Registro de gastos'!$B$5:$B$505,A43,'Registro de gastos'!$H$5:$H$505))</f>
      </c>
      <c r="L43" s="16">
        <f>IF(A43="","",SUMIFS('Registro de gastos'!$H$5:$H$505,'Registro de gastos'!$B$5:$B$505,A43,'Registro de gastos'!$C$5:$C$505,"Compra de lechones"))</f>
      </c>
      <c r="M43" s="16">
        <f>IF(A43="","",SUMIF('Registro de ingresos'!$B$5:$B$505,A43,'Registro de ingresos'!$I$5:$I$505))</f>
      </c>
      <c r="N43" s="16">
        <f>IF(A43="","",IF(M43=0,"sin ventas todavía",M43-K43))</f>
      </c>
    </row>
    <row r="44" spans="1:14" x14ac:dyDescent="0.25">
      <c r="A44" s="18"/>
      <c r="B44" s="17"/>
      <c r="C44" s="17"/>
      <c r="D44" s="22"/>
      <c r="E44" s="22"/>
      <c r="F44" s="26"/>
      <c r="G44" s="22"/>
      <c r="H44" s="24">
        <f>IF(A44="","",IF(D44="","falta dato",D44-IF(E44="",0,E44)))</f>
      </c>
      <c r="I44" s="24">
        <f>IF(A44="","",IF(OR(B44="",C44=""),"falta dato",C44-B44))</f>
      </c>
      <c r="J44" s="25">
        <f>IF(A44="","",SUMIF('Registro de ingresos'!$B$5:$B$505,A44,'Registro de ingresos'!$E$5:$E$505))</f>
      </c>
      <c r="K44" s="16">
        <f>IF(A44="","",SUMIF('Registro de gastos'!$B$5:$B$505,A44,'Registro de gastos'!$H$5:$H$505))</f>
      </c>
      <c r="L44" s="16">
        <f>IF(A44="","",SUMIFS('Registro de gastos'!$H$5:$H$505,'Registro de gastos'!$B$5:$B$505,A44,'Registro de gastos'!$C$5:$C$505,"Compra de lechones"))</f>
      </c>
      <c r="M44" s="16">
        <f>IF(A44="","",SUMIF('Registro de ingresos'!$B$5:$B$505,A44,'Registro de ingresos'!$I$5:$I$505))</f>
      </c>
      <c r="N44" s="16">
        <f>IF(A44="","",IF(M44=0,"sin ventas todavía",M44-K44))</f>
      </c>
    </row>
    <row r="45" spans="1:14" x14ac:dyDescent="0.25">
      <c r="A45" s="18"/>
      <c r="B45" s="17"/>
      <c r="C45" s="17"/>
      <c r="D45" s="22"/>
      <c r="E45" s="22"/>
      <c r="F45" s="26"/>
      <c r="G45" s="22"/>
      <c r="H45" s="24">
        <f>IF(A45="","",IF(D45="","falta dato",D45-IF(E45="",0,E45)))</f>
      </c>
      <c r="I45" s="24">
        <f>IF(A45="","",IF(OR(B45="",C45=""),"falta dato",C45-B45))</f>
      </c>
      <c r="J45" s="25">
        <f>IF(A45="","",SUMIF('Registro de ingresos'!$B$5:$B$505,A45,'Registro de ingresos'!$E$5:$E$505))</f>
      </c>
      <c r="K45" s="16">
        <f>IF(A45="","",SUMIF('Registro de gastos'!$B$5:$B$505,A45,'Registro de gastos'!$H$5:$H$505))</f>
      </c>
      <c r="L45" s="16">
        <f>IF(A45="","",SUMIFS('Registro de gastos'!$H$5:$H$505,'Registro de gastos'!$B$5:$B$505,A45,'Registro de gastos'!$C$5:$C$505,"Compra de lechones"))</f>
      </c>
      <c r="M45" s="16">
        <f>IF(A45="","",SUMIF('Registro de ingresos'!$B$5:$B$505,A45,'Registro de ingresos'!$I$5:$I$505))</f>
      </c>
      <c r="N45" s="16">
        <f>IF(A45="","",IF(M45=0,"sin ventas todavía",M45-K45))</f>
      </c>
    </row>
    <row r="46" spans="1:14" x14ac:dyDescent="0.25">
      <c r="A46" s="18"/>
      <c r="B46" s="17"/>
      <c r="C46" s="17"/>
      <c r="D46" s="22"/>
      <c r="E46" s="22"/>
      <c r="F46" s="26"/>
      <c r="G46" s="22"/>
      <c r="H46" s="24">
        <f>IF(A46="","",IF(D46="","falta dato",D46-IF(E46="",0,E46)))</f>
      </c>
      <c r="I46" s="24">
        <f>IF(A46="","",IF(OR(B46="",C46=""),"falta dato",C46-B46))</f>
      </c>
      <c r="J46" s="25">
        <f>IF(A46="","",SUMIF('Registro de ingresos'!$B$5:$B$505,A46,'Registro de ingresos'!$E$5:$E$505))</f>
      </c>
      <c r="K46" s="16">
        <f>IF(A46="","",SUMIF('Registro de gastos'!$B$5:$B$505,A46,'Registro de gastos'!$H$5:$H$505))</f>
      </c>
      <c r="L46" s="16">
        <f>IF(A46="","",SUMIFS('Registro de gastos'!$H$5:$H$505,'Registro de gastos'!$B$5:$B$505,A46,'Registro de gastos'!$C$5:$C$505,"Compra de lechones"))</f>
      </c>
      <c r="M46" s="16">
        <f>IF(A46="","",SUMIF('Registro de ingresos'!$B$5:$B$505,A46,'Registro de ingresos'!$I$5:$I$505))</f>
      </c>
      <c r="N46" s="16">
        <f>IF(A46="","",IF(M46=0,"sin ventas todavía",M46-K46))</f>
      </c>
    </row>
    <row r="47" spans="1:14" x14ac:dyDescent="0.25">
      <c r="A47" s="18"/>
      <c r="B47" s="17"/>
      <c r="C47" s="17"/>
      <c r="D47" s="22"/>
      <c r="E47" s="22"/>
      <c r="F47" s="26"/>
      <c r="G47" s="22"/>
      <c r="H47" s="24">
        <f>IF(A47="","",IF(D47="","falta dato",D47-IF(E47="",0,E47)))</f>
      </c>
      <c r="I47" s="24">
        <f>IF(A47="","",IF(OR(B47="",C47=""),"falta dato",C47-B47))</f>
      </c>
      <c r="J47" s="25">
        <f>IF(A47="","",SUMIF('Registro de ingresos'!$B$5:$B$505,A47,'Registro de ingresos'!$E$5:$E$505))</f>
      </c>
      <c r="K47" s="16">
        <f>IF(A47="","",SUMIF('Registro de gastos'!$B$5:$B$505,A47,'Registro de gastos'!$H$5:$H$505))</f>
      </c>
      <c r="L47" s="16">
        <f>IF(A47="","",SUMIFS('Registro de gastos'!$H$5:$H$505,'Registro de gastos'!$B$5:$B$505,A47,'Registro de gastos'!$C$5:$C$505,"Compra de lechones"))</f>
      </c>
      <c r="M47" s="16">
        <f>IF(A47="","",SUMIF('Registro de ingresos'!$B$5:$B$505,A47,'Registro de ingresos'!$I$5:$I$505))</f>
      </c>
      <c r="N47" s="16">
        <f>IF(A47="","",IF(M47=0,"sin ventas todavía",M47-K47))</f>
      </c>
    </row>
    <row r="48" spans="1:14" x14ac:dyDescent="0.25">
      <c r="A48" s="18"/>
      <c r="B48" s="17"/>
      <c r="C48" s="17"/>
      <c r="D48" s="22"/>
      <c r="E48" s="22"/>
      <c r="F48" s="26"/>
      <c r="G48" s="22"/>
      <c r="H48" s="24">
        <f>IF(A48="","",IF(D48="","falta dato",D48-IF(E48="",0,E48)))</f>
      </c>
      <c r="I48" s="24">
        <f>IF(A48="","",IF(OR(B48="",C48=""),"falta dato",C48-B48))</f>
      </c>
      <c r="J48" s="25">
        <f>IF(A48="","",SUMIF('Registro de ingresos'!$B$5:$B$505,A48,'Registro de ingresos'!$E$5:$E$505))</f>
      </c>
      <c r="K48" s="16">
        <f>IF(A48="","",SUMIF('Registro de gastos'!$B$5:$B$505,A48,'Registro de gastos'!$H$5:$H$505))</f>
      </c>
      <c r="L48" s="16">
        <f>IF(A48="","",SUMIFS('Registro de gastos'!$H$5:$H$505,'Registro de gastos'!$B$5:$B$505,A48,'Registro de gastos'!$C$5:$C$505,"Compra de lechones"))</f>
      </c>
      <c r="M48" s="16">
        <f>IF(A48="","",SUMIF('Registro de ingresos'!$B$5:$B$505,A48,'Registro de ingresos'!$I$5:$I$505))</f>
      </c>
      <c r="N48" s="16">
        <f>IF(A48="","",IF(M48=0,"sin ventas todavía",M48-K48))</f>
      </c>
    </row>
    <row r="49" spans="1:14" x14ac:dyDescent="0.25">
      <c r="A49" s="18"/>
      <c r="B49" s="17"/>
      <c r="C49" s="17"/>
      <c r="D49" s="22"/>
      <c r="E49" s="22"/>
      <c r="F49" s="26"/>
      <c r="G49" s="22"/>
      <c r="H49" s="24">
        <f>IF(A49="","",IF(D49="","falta dato",D49-IF(E49="",0,E49)))</f>
      </c>
      <c r="I49" s="24">
        <f>IF(A49="","",IF(OR(B49="",C49=""),"falta dato",C49-B49))</f>
      </c>
      <c r="J49" s="25">
        <f>IF(A49="","",SUMIF('Registro de ingresos'!$B$5:$B$505,A49,'Registro de ingresos'!$E$5:$E$505))</f>
      </c>
      <c r="K49" s="16">
        <f>IF(A49="","",SUMIF('Registro de gastos'!$B$5:$B$505,A49,'Registro de gastos'!$H$5:$H$505))</f>
      </c>
      <c r="L49" s="16">
        <f>IF(A49="","",SUMIFS('Registro de gastos'!$H$5:$H$505,'Registro de gastos'!$B$5:$B$505,A49,'Registro de gastos'!$C$5:$C$505,"Compra de lechones"))</f>
      </c>
      <c r="M49" s="16">
        <f>IF(A49="","",SUMIF('Registro de ingresos'!$B$5:$B$505,A49,'Registro de ingresos'!$I$5:$I$505))</f>
      </c>
      <c r="N49" s="16">
        <f>IF(A49="","",IF(M49=0,"sin ventas todavía",M49-K49))</f>
      </c>
    </row>
    <row r="50" spans="1:14" x14ac:dyDescent="0.25">
      <c r="A50" s="18"/>
      <c r="B50" s="17"/>
      <c r="C50" s="17"/>
      <c r="D50" s="22"/>
      <c r="E50" s="22"/>
      <c r="F50" s="26"/>
      <c r="G50" s="22"/>
      <c r="H50" s="24">
        <f>IF(A50="","",IF(D50="","falta dato",D50-IF(E50="",0,E50)))</f>
      </c>
      <c r="I50" s="24">
        <f>IF(A50="","",IF(OR(B50="",C50=""),"falta dato",C50-B50))</f>
      </c>
      <c r="J50" s="25">
        <f>IF(A50="","",SUMIF('Registro de ingresos'!$B$5:$B$505,A50,'Registro de ingresos'!$E$5:$E$505))</f>
      </c>
      <c r="K50" s="16">
        <f>IF(A50="","",SUMIF('Registro de gastos'!$B$5:$B$505,A50,'Registro de gastos'!$H$5:$H$505))</f>
      </c>
      <c r="L50" s="16">
        <f>IF(A50="","",SUMIFS('Registro de gastos'!$H$5:$H$505,'Registro de gastos'!$B$5:$B$505,A50,'Registro de gastos'!$C$5:$C$505,"Compra de lechones"))</f>
      </c>
      <c r="M50" s="16">
        <f>IF(A50="","",SUMIF('Registro de ingresos'!$B$5:$B$505,A50,'Registro de ingresos'!$I$5:$I$505))</f>
      </c>
      <c r="N50" s="16">
        <f>IF(A50="","",IF(M50=0,"sin ventas todavía",M50-K50))</f>
      </c>
    </row>
    <row r="51" spans="1:14" x14ac:dyDescent="0.25">
      <c r="A51" s="18"/>
      <c r="B51" s="17"/>
      <c r="C51" s="17"/>
      <c r="D51" s="22"/>
      <c r="E51" s="22"/>
      <c r="F51" s="26"/>
      <c r="G51" s="22"/>
      <c r="H51" s="24">
        <f>IF(A51="","",IF(D51="","falta dato",D51-IF(E51="",0,E51)))</f>
      </c>
      <c r="I51" s="24">
        <f>IF(A51="","",IF(OR(B51="",C51=""),"falta dato",C51-B51))</f>
      </c>
      <c r="J51" s="25">
        <f>IF(A51="","",SUMIF('Registro de ingresos'!$B$5:$B$505,A51,'Registro de ingresos'!$E$5:$E$505))</f>
      </c>
      <c r="K51" s="16">
        <f>IF(A51="","",SUMIF('Registro de gastos'!$B$5:$B$505,A51,'Registro de gastos'!$H$5:$H$505))</f>
      </c>
      <c r="L51" s="16">
        <f>IF(A51="","",SUMIFS('Registro de gastos'!$H$5:$H$505,'Registro de gastos'!$B$5:$B$505,A51,'Registro de gastos'!$C$5:$C$505,"Compra de lechones"))</f>
      </c>
      <c r="M51" s="16">
        <f>IF(A51="","",SUMIF('Registro de ingresos'!$B$5:$B$505,A51,'Registro de ingresos'!$I$5:$I$505))</f>
      </c>
      <c r="N51" s="16">
        <f>IF(A51="","",IF(M51=0,"sin ventas todavía",M51-K51))</f>
      </c>
    </row>
    <row r="52" spans="1:14" x14ac:dyDescent="0.25">
      <c r="A52" s="18"/>
      <c r="B52" s="17"/>
      <c r="C52" s="17"/>
      <c r="D52" s="22"/>
      <c r="E52" s="22"/>
      <c r="F52" s="26"/>
      <c r="G52" s="22"/>
      <c r="H52" s="24">
        <f>IF(A52="","",IF(D52="","falta dato",D52-IF(E52="",0,E52)))</f>
      </c>
      <c r="I52" s="24">
        <f>IF(A52="","",IF(OR(B52="",C52=""),"falta dato",C52-B52))</f>
      </c>
      <c r="J52" s="25">
        <f>IF(A52="","",SUMIF('Registro de ingresos'!$B$5:$B$505,A52,'Registro de ingresos'!$E$5:$E$505))</f>
      </c>
      <c r="K52" s="16">
        <f>IF(A52="","",SUMIF('Registro de gastos'!$B$5:$B$505,A52,'Registro de gastos'!$H$5:$H$505))</f>
      </c>
      <c r="L52" s="16">
        <f>IF(A52="","",SUMIFS('Registro de gastos'!$H$5:$H$505,'Registro de gastos'!$B$5:$B$505,A52,'Registro de gastos'!$C$5:$C$505,"Compra de lechones"))</f>
      </c>
      <c r="M52" s="16">
        <f>IF(A52="","",SUMIF('Registro de ingresos'!$B$5:$B$505,A52,'Registro de ingresos'!$I$5:$I$505))</f>
      </c>
      <c r="N52" s="16">
        <f>IF(A52="","",IF(M52=0,"sin ventas todavía",M52-K52))</f>
      </c>
    </row>
    <row r="53" spans="1:14" x14ac:dyDescent="0.25">
      <c r="A53" s="18"/>
      <c r="B53" s="17"/>
      <c r="C53" s="17"/>
      <c r="D53" s="22"/>
      <c r="E53" s="22"/>
      <c r="F53" s="26"/>
      <c r="G53" s="22"/>
      <c r="H53" s="24">
        <f>IF(A53="","",IF(D53="","falta dato",D53-IF(E53="",0,E53)))</f>
      </c>
      <c r="I53" s="24">
        <f>IF(A53="","",IF(OR(B53="",C53=""),"falta dato",C53-B53))</f>
      </c>
      <c r="J53" s="25">
        <f>IF(A53="","",SUMIF('Registro de ingresos'!$B$5:$B$505,A53,'Registro de ingresos'!$E$5:$E$505))</f>
      </c>
      <c r="K53" s="16">
        <f>IF(A53="","",SUMIF('Registro de gastos'!$B$5:$B$505,A53,'Registro de gastos'!$H$5:$H$505))</f>
      </c>
      <c r="L53" s="16">
        <f>IF(A53="","",SUMIFS('Registro de gastos'!$H$5:$H$505,'Registro de gastos'!$B$5:$B$505,A53,'Registro de gastos'!$C$5:$C$505,"Compra de lechones"))</f>
      </c>
      <c r="M53" s="16">
        <f>IF(A53="","",SUMIF('Registro de ingresos'!$B$5:$B$505,A53,'Registro de ingresos'!$I$5:$I$505))</f>
      </c>
      <c r="N53" s="16">
        <f>IF(A53="","",IF(M53=0,"sin ventas todavía",M53-K53))</f>
      </c>
    </row>
    <row r="54" spans="1:14" x14ac:dyDescent="0.25">
      <c r="A54" s="18"/>
      <c r="B54" s="17"/>
      <c r="C54" s="17"/>
      <c r="D54" s="22"/>
      <c r="E54" s="22"/>
      <c r="F54" s="26"/>
      <c r="G54" s="22"/>
      <c r="H54" s="24">
        <f>IF(A54="","",IF(D54="","falta dato",D54-IF(E54="",0,E54)))</f>
      </c>
      <c r="I54" s="24">
        <f>IF(A54="","",IF(OR(B54="",C54=""),"falta dato",C54-B54))</f>
      </c>
      <c r="J54" s="25">
        <f>IF(A54="","",SUMIF('Registro de ingresos'!$B$5:$B$505,A54,'Registro de ingresos'!$E$5:$E$505))</f>
      </c>
      <c r="K54" s="16">
        <f>IF(A54="","",SUMIF('Registro de gastos'!$B$5:$B$505,A54,'Registro de gastos'!$H$5:$H$505))</f>
      </c>
      <c r="L54" s="16">
        <f>IF(A54="","",SUMIFS('Registro de gastos'!$H$5:$H$505,'Registro de gastos'!$B$5:$B$505,A54,'Registro de gastos'!$C$5:$C$505,"Compra de lechones"))</f>
      </c>
      <c r="M54" s="16">
        <f>IF(A54="","",SUMIF('Registro de ingresos'!$B$5:$B$505,A54,'Registro de ingresos'!$I$5:$I$505))</f>
      </c>
      <c r="N54" s="16">
        <f>IF(A54="","",IF(M54=0,"sin ventas todavía",M54-K54))</f>
      </c>
    </row>
  </sheetData>
  <sheetProtection sheet="1" formatColumns="0" formatRows="0" autoFilter="0"/>
  <conditionalFormatting sqref="H5:N54">
    <cfRule type="containsText" dxfId="2" priority="1">
      <formula>NOT(ISERROR(SEARCH("falta",H5)))</formula>
    </cfRule>
  </conditionalFormatting>
  <dataValidations count="3">
    <dataValidation type="date" operator="greaterThan" allowBlank="1" showErrorMessage="1" errorTitle="Fecha" error="Escriba una fecha válida." sqref="B5:C54">
      <formula1>36526</formula1>
    </dataValidation>
    <dataValidation type="whole" operator="greaterThanOrEqual" allowBlank="1" showErrorMessage="1" errorTitle="Cerdos" error="Un número entero, sin negativos." sqref="D5:E54">
      <formula1>0</formula1>
    </dataValidation>
    <dataValidation type="decimal" operator="greaterThanOrEqual" allowBlank="1" showErrorMessage="1" errorTitle="Número" error="No puede ser negativo." sqref="F5:G54">
      <formula1>0</formula1>
    </dataValidation>
  </dataValidations>
  <pageSetup paperSize="1"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F766E"/>
    <pageSetUpPr fitToPage="1"/>
  </sheetPr>
  <dimension ref="A1:O54"/>
  <sheetViews>
    <sheetView workbookViewId="0">
      <pane ySplit="4" topLeftCell="A5" activePane="bottomLeft" state="frozen"/>
      <selection pane="bottomLeft"/>
    </sheetView>
  </sheetViews>
  <sheetFormatPr defaultRowHeight="15" outlineLevelRow="0" outlineLevelCol="0" x14ac:dyDescent="55"/>
  <cols>
    <col min="1" max="1" width="10" customWidth="1"/>
    <col min="2" max="2" width="11" customWidth="1"/>
    <col min="3" max="6" width="12" customWidth="1"/>
    <col min="7" max="7" width="15" customWidth="1"/>
    <col min="8" max="9" width="14" customWidth="1"/>
    <col min="10" max="10" width="15" customWidth="1"/>
    <col min="11" max="11" width="10" customWidth="1"/>
    <col min="13" max="13" width="3" customWidth="1"/>
    <col min="14" max="14" width="36" customWidth="1"/>
    <col min="15" max="15" width="20" customWidth="1"/>
  </cols>
  <sheetData>
    <row r="1" spans="1:1" x14ac:dyDescent="0.25">
      <c r="A1" s="9" t="s">
        <v>112</v>
      </c>
    </row>
    <row r="2" spans="1:1" x14ac:dyDescent="0.25">
      <c r="A2" s="2" t="s">
        <v>113</v>
      </c>
    </row>
    <row r="3" spans="1:1" x14ac:dyDescent="0.25">
      <c r="A3" s="10" t="s">
        <v>57</v>
      </c>
    </row>
    <row r="4" ht="34" customHeight="1" spans="1:15" x14ac:dyDescent="0.25">
      <c r="A4" s="11" t="s">
        <v>59</v>
      </c>
      <c r="B4" s="11" t="s">
        <v>48</v>
      </c>
      <c r="C4" s="11" t="s">
        <v>114</v>
      </c>
      <c r="D4" s="11" t="s">
        <v>115</v>
      </c>
      <c r="E4" s="11" t="s">
        <v>44</v>
      </c>
      <c r="F4" s="11" t="s">
        <v>116</v>
      </c>
      <c r="G4" s="11" t="s">
        <v>117</v>
      </c>
      <c r="H4" s="11" t="s">
        <v>118</v>
      </c>
      <c r="I4" s="11" t="s">
        <v>119</v>
      </c>
      <c r="J4" s="11" t="s">
        <v>111</v>
      </c>
      <c r="K4" s="11" t="s">
        <v>50</v>
      </c>
      <c r="N4" s="27" t="s">
        <v>120</v>
      </c>
      <c r="O4" s="28"/>
    </row>
    <row r="5" spans="1:15" x14ac:dyDescent="0.25">
      <c r="A5" s="29">
        <f>IF('Control de lotes'!A5="","",'Control de lotes'!A5)</f>
      </c>
      <c r="B5" s="30">
        <f>IF(A5="","",IF(OR('Control de lotes'!D5="",'Control de lotes'!D5=0),"falta dato",IF('Control de lotes'!E5="",0,'Control de lotes'!E5)/'Control de lotes'!D5))</f>
      </c>
      <c r="C5" s="31">
        <f>IF(A5="","",IF(OR(NOT(ISNUMBER('Control de lotes'!H5)),'Control de lotes'!J5=0),"falta dato",IF('Control de lotes'!H5&lt;=0,"falta dato",'Control de lotes'!J5/'Control de lotes'!H5)))</f>
      </c>
      <c r="D5" s="25">
        <f>IF(A5="","",IF(OR('Control de lotes'!J5=0,'Control de lotes'!D5="",'Control de lotes'!F5=""),"falta dato",'Control de lotes'!J5-'Control de lotes'!D5*'Control de lotes'!F5))</f>
      </c>
      <c r="E5" s="32">
        <f>IF(A5="","",IF(OR('Control de lotes'!G5="",NOT(ISNUMBER(D5))),"falta dato",IF(D5&lt;=0,"falta dato",'Control de lotes'!G5/D5)))</f>
      </c>
      <c r="F5" s="33">
        <f>IF(A5="","",IF(OR(NOT(ISNUMBER(C5)),'Control de lotes'!F5="",NOT(ISNUMBER('Control de lotes'!I5))),"falta dato",IF('Control de lotes'!I5&lt;=0,"falta dato",(C5-'Control de lotes'!F5)/'Control de lotes'!I5)))</f>
      </c>
      <c r="G5" s="16">
        <f>IF(A5="","",IF(OR(NOT(ISNUMBER('Control de lotes'!H5)),'Control de lotes'!K5=0),"falta dato",IF('Control de lotes'!H5&lt;=0,"falta dato",'Control de lotes'!K5/'Control de lotes'!H5)))</f>
      </c>
      <c r="H5" s="16">
        <f>IF(A5="","",IF(OR('Control de lotes'!J5=0,'Control de lotes'!K5=0),"falta dato",'Control de lotes'!K5/'Control de lotes'!J5))</f>
      </c>
      <c r="I5" s="16">
        <f>IF(A5="","",IF(OR(NOT(ISNUMBER(D5)),'Control de lotes'!K5=0),"falta dato",IF(D5&lt;=0,"falta dato",('Control de lotes'!K5-'Control de lotes'!L5)/D5)))</f>
      </c>
      <c r="J5" s="16">
        <f>IF(A5="","",'Control de lotes'!N5)</f>
      </c>
      <c r="K5" s="30">
        <f>IF(A5="","",IF(NOT(ISNUMBER('Control de lotes'!N5)),"falta dato",IF('Control de lotes'!M5&lt;=0,"falta dato",'Control de lotes'!N5/'Control de lotes'!M5)))</f>
      </c>
      <c r="N5" s="34" t="s">
        <v>121</v>
      </c>
      <c r="O5" s="35">
        <v>90000</v>
      </c>
    </row>
    <row r="6" spans="1:15" x14ac:dyDescent="0.25">
      <c r="A6" s="29">
        <f>IF('Control de lotes'!A6="","",'Control de lotes'!A6)</f>
      </c>
      <c r="B6" s="30">
        <f>IF(A6="","",IF(OR('Control de lotes'!D6="",'Control de lotes'!D6=0),"falta dato",IF('Control de lotes'!E6="",0,'Control de lotes'!E6)/'Control de lotes'!D6))</f>
      </c>
      <c r="C6" s="31">
        <f>IF(A6="","",IF(OR(NOT(ISNUMBER('Control de lotes'!H6)),'Control de lotes'!J6=0),"falta dato",IF('Control de lotes'!H6&lt;=0,"falta dato",'Control de lotes'!J6/'Control de lotes'!H6)))</f>
      </c>
      <c r="D6" s="25">
        <f>IF(A6="","",IF(OR('Control de lotes'!J6=0,'Control de lotes'!D6="",'Control de lotes'!F6=""),"falta dato",'Control de lotes'!J6-'Control de lotes'!D6*'Control de lotes'!F6))</f>
      </c>
      <c r="E6" s="32">
        <f>IF(A6="","",IF(OR('Control de lotes'!G6="",NOT(ISNUMBER(D6))),"falta dato",IF(D6&lt;=0,"falta dato",'Control de lotes'!G6/D6)))</f>
      </c>
      <c r="F6" s="33">
        <f>IF(A6="","",IF(OR(NOT(ISNUMBER(C6)),'Control de lotes'!F6="",NOT(ISNUMBER('Control de lotes'!I6))),"falta dato",IF('Control de lotes'!I6&lt;=0,"falta dato",(C6-'Control de lotes'!F6)/'Control de lotes'!I6)))</f>
      </c>
      <c r="G6" s="16">
        <f>IF(A6="","",IF(OR(NOT(ISNUMBER('Control de lotes'!H6)),'Control de lotes'!K6=0),"falta dato",IF('Control de lotes'!H6&lt;=0,"falta dato",'Control de lotes'!K6/'Control de lotes'!H6)))</f>
      </c>
      <c r="H6" s="16">
        <f>IF(A6="","",IF(OR('Control de lotes'!J6=0,'Control de lotes'!K6=0),"falta dato",'Control de lotes'!K6/'Control de lotes'!J6))</f>
      </c>
      <c r="I6" s="16">
        <f>IF(A6="","",IF(OR(NOT(ISNUMBER(D6)),'Control de lotes'!K6=0),"falta dato",IF(D6&lt;=0,"falta dato",('Control de lotes'!K6-'Control de lotes'!L6)/D6)))</f>
      </c>
      <c r="J6" s="16">
        <f>IF(A6="","",'Control de lotes'!N6)</f>
      </c>
      <c r="K6" s="30">
        <f>IF(A6="","",IF(NOT(ISNUMBER('Control de lotes'!N6)),"falta dato",IF('Control de lotes'!M6&lt;=0,"falta dato",'Control de lotes'!N6/'Control de lotes'!M6)))</f>
      </c>
      <c r="N6" s="34" t="s">
        <v>122</v>
      </c>
      <c r="O6" s="35">
        <v>17500</v>
      </c>
    </row>
    <row r="7" spans="1:15" x14ac:dyDescent="0.25">
      <c r="A7" s="29">
        <f>IF('Control de lotes'!A7="","",'Control de lotes'!A7)</f>
      </c>
      <c r="B7" s="30">
        <f>IF(A7="","",IF(OR('Control de lotes'!D7="",'Control de lotes'!D7=0),"falta dato",IF('Control de lotes'!E7="",0,'Control de lotes'!E7)/'Control de lotes'!D7))</f>
      </c>
      <c r="C7" s="31">
        <f>IF(A7="","",IF(OR(NOT(ISNUMBER('Control de lotes'!H7)),'Control de lotes'!J7=0),"falta dato",IF('Control de lotes'!H7&lt;=0,"falta dato",'Control de lotes'!J7/'Control de lotes'!H7)))</f>
      </c>
      <c r="D7" s="25">
        <f>IF(A7="","",IF(OR('Control de lotes'!J7=0,'Control de lotes'!D7="",'Control de lotes'!F7=""),"falta dato",'Control de lotes'!J7-'Control de lotes'!D7*'Control de lotes'!F7))</f>
      </c>
      <c r="E7" s="32">
        <f>IF(A7="","",IF(OR('Control de lotes'!G7="",NOT(ISNUMBER(D7))),"falta dato",IF(D7&lt;=0,"falta dato",'Control de lotes'!G7/D7)))</f>
      </c>
      <c r="F7" s="33">
        <f>IF(A7="","",IF(OR(NOT(ISNUMBER(C7)),'Control de lotes'!F7="",NOT(ISNUMBER('Control de lotes'!I7))),"falta dato",IF('Control de lotes'!I7&lt;=0,"falta dato",(C7-'Control de lotes'!F7)/'Control de lotes'!I7)))</f>
      </c>
      <c r="G7" s="16">
        <f>IF(A7="","",IF(OR(NOT(ISNUMBER('Control de lotes'!H7)),'Control de lotes'!K7=0),"falta dato",IF('Control de lotes'!H7&lt;=0,"falta dato",'Control de lotes'!K7/'Control de lotes'!H7)))</f>
      </c>
      <c r="H7" s="16">
        <f>IF(A7="","",IF(OR('Control de lotes'!J7=0,'Control de lotes'!K7=0),"falta dato",'Control de lotes'!K7/'Control de lotes'!J7))</f>
      </c>
      <c r="I7" s="16">
        <f>IF(A7="","",IF(OR(NOT(ISNUMBER(D7)),'Control de lotes'!K7=0),"falta dato",IF(D7&lt;=0,"falta dato",('Control de lotes'!K7-'Control de lotes'!L7)/D7)))</f>
      </c>
      <c r="J7" s="16">
        <f>IF(A7="","",'Control de lotes'!N7)</f>
      </c>
      <c r="K7" s="30">
        <f>IF(A7="","",IF(NOT(ISNUMBER('Control de lotes'!N7)),"falta dato",IF('Control de lotes'!M7&lt;=0,"falta dato",'Control de lotes'!N7/'Control de lotes'!M7)))</f>
      </c>
      <c r="N7" s="34" t="s">
        <v>123</v>
      </c>
      <c r="O7" s="35">
        <v>13000</v>
      </c>
    </row>
    <row r="8" spans="1:15" x14ac:dyDescent="0.25">
      <c r="A8" s="29">
        <f>IF('Control de lotes'!A8="","",'Control de lotes'!A8)</f>
      </c>
      <c r="B8" s="30">
        <f>IF(A8="","",IF(OR('Control de lotes'!D8="",'Control de lotes'!D8=0),"falta dato",IF('Control de lotes'!E8="",0,'Control de lotes'!E8)/'Control de lotes'!D8))</f>
      </c>
      <c r="C8" s="31">
        <f>IF(A8="","",IF(OR(NOT(ISNUMBER('Control de lotes'!H8)),'Control de lotes'!J8=0),"falta dato",IF('Control de lotes'!H8&lt;=0,"falta dato",'Control de lotes'!J8/'Control de lotes'!H8)))</f>
      </c>
      <c r="D8" s="25">
        <f>IF(A8="","",IF(OR('Control de lotes'!J8=0,'Control de lotes'!D8="",'Control de lotes'!F8=""),"falta dato",'Control de lotes'!J8-'Control de lotes'!D8*'Control de lotes'!F8))</f>
      </c>
      <c r="E8" s="32">
        <f>IF(A8="","",IF(OR('Control de lotes'!G8="",NOT(ISNUMBER(D8))),"falta dato",IF(D8&lt;=0,"falta dato",'Control de lotes'!G8/D8)))</f>
      </c>
      <c r="F8" s="33">
        <f>IF(A8="","",IF(OR(NOT(ISNUMBER(C8)),'Control de lotes'!F8="",NOT(ISNUMBER('Control de lotes'!I8))),"falta dato",IF('Control de lotes'!I8&lt;=0,"falta dato",(C8-'Control de lotes'!F8)/'Control de lotes'!I8)))</f>
      </c>
      <c r="G8" s="16">
        <f>IF(A8="","",IF(OR(NOT(ISNUMBER('Control de lotes'!H8)),'Control de lotes'!K8=0),"falta dato",IF('Control de lotes'!H8&lt;=0,"falta dato",'Control de lotes'!K8/'Control de lotes'!H8)))</f>
      </c>
      <c r="H8" s="16">
        <f>IF(A8="","",IF(OR('Control de lotes'!J8=0,'Control de lotes'!K8=0),"falta dato",'Control de lotes'!K8/'Control de lotes'!J8))</f>
      </c>
      <c r="I8" s="16">
        <f>IF(A8="","",IF(OR(NOT(ISNUMBER(D8)),'Control de lotes'!K8=0),"falta dato",IF(D8&lt;=0,"falta dato",('Control de lotes'!K8-'Control de lotes'!L8)/D8)))</f>
      </c>
      <c r="J8" s="16">
        <f>IF(A8="","",'Control de lotes'!N8)</f>
      </c>
      <c r="K8" s="30">
        <f>IF(A8="","",IF(NOT(ISNUMBER('Control de lotes'!N8)),"falta dato",IF('Control de lotes'!M8&lt;=0,"falta dato",'Control de lotes'!N8/'Control de lotes'!M8)))</f>
      </c>
      <c r="N8" s="34" t="s">
        <v>124</v>
      </c>
      <c r="O8" s="36">
        <f>IF(OR(O6="",O7=""),"falta dato",O6-O7)</f>
      </c>
    </row>
    <row r="9" spans="1:15" x14ac:dyDescent="0.25">
      <c r="A9" s="29">
        <f>IF('Control de lotes'!A9="","",'Control de lotes'!A9)</f>
      </c>
      <c r="B9" s="30">
        <f>IF(A9="","",IF(OR('Control de lotes'!D9="",'Control de lotes'!D9=0),"falta dato",IF('Control de lotes'!E9="",0,'Control de lotes'!E9)/'Control de lotes'!D9))</f>
      </c>
      <c r="C9" s="31">
        <f>IF(A9="","",IF(OR(NOT(ISNUMBER('Control de lotes'!H9)),'Control de lotes'!J9=0),"falta dato",IF('Control de lotes'!H9&lt;=0,"falta dato",'Control de lotes'!J9/'Control de lotes'!H9)))</f>
      </c>
      <c r="D9" s="25">
        <f>IF(A9="","",IF(OR('Control de lotes'!J9=0,'Control de lotes'!D9="",'Control de lotes'!F9=""),"falta dato",'Control de lotes'!J9-'Control de lotes'!D9*'Control de lotes'!F9))</f>
      </c>
      <c r="E9" s="32">
        <f>IF(A9="","",IF(OR('Control de lotes'!G9="",NOT(ISNUMBER(D9))),"falta dato",IF(D9&lt;=0,"falta dato",'Control de lotes'!G9/D9)))</f>
      </c>
      <c r="F9" s="33">
        <f>IF(A9="","",IF(OR(NOT(ISNUMBER(C9)),'Control de lotes'!F9="",NOT(ISNUMBER('Control de lotes'!I9))),"falta dato",IF('Control de lotes'!I9&lt;=0,"falta dato",(C9-'Control de lotes'!F9)/'Control de lotes'!I9)))</f>
      </c>
      <c r="G9" s="16">
        <f>IF(A9="","",IF(OR(NOT(ISNUMBER('Control de lotes'!H9)),'Control de lotes'!K9=0),"falta dato",IF('Control de lotes'!H9&lt;=0,"falta dato",'Control de lotes'!K9/'Control de lotes'!H9)))</f>
      </c>
      <c r="H9" s="16">
        <f>IF(A9="","",IF(OR('Control de lotes'!J9=0,'Control de lotes'!K9=0),"falta dato",'Control de lotes'!K9/'Control de lotes'!J9))</f>
      </c>
      <c r="I9" s="16">
        <f>IF(A9="","",IF(OR(NOT(ISNUMBER(D9)),'Control de lotes'!K9=0),"falta dato",IF(D9&lt;=0,"falta dato",('Control de lotes'!K9-'Control de lotes'!L9)/D9)))</f>
      </c>
      <c r="J9" s="16">
        <f>IF(A9="","",'Control de lotes'!N9)</f>
      </c>
      <c r="K9" s="30">
        <f>IF(A9="","",IF(NOT(ISNUMBER('Control de lotes'!N9)),"falta dato",IF('Control de lotes'!M9&lt;=0,"falta dato",'Control de lotes'!N9/'Control de lotes'!M9)))</f>
      </c>
      <c r="N9" s="34" t="s">
        <v>125</v>
      </c>
      <c r="O9" s="30">
        <f>IF(NOT(ISNUMBER(O8)),"falta dato",IF(O6&lt;=0,"falta dato",O8/O6))</f>
      </c>
    </row>
    <row r="10" spans="1:15" x14ac:dyDescent="0.25">
      <c r="A10" s="29">
        <f>IF('Control de lotes'!A10="","",'Control de lotes'!A10)</f>
      </c>
      <c r="B10" s="30">
        <f>IF(A10="","",IF(OR('Control de lotes'!D10="",'Control de lotes'!D10=0),"falta dato",IF('Control de lotes'!E10="",0,'Control de lotes'!E10)/'Control de lotes'!D10))</f>
      </c>
      <c r="C10" s="31">
        <f>IF(A10="","",IF(OR(NOT(ISNUMBER('Control de lotes'!H10)),'Control de lotes'!J10=0),"falta dato",IF('Control de lotes'!H10&lt;=0,"falta dato",'Control de lotes'!J10/'Control de lotes'!H10)))</f>
      </c>
      <c r="D10" s="25">
        <f>IF(A10="","",IF(OR('Control de lotes'!J10=0,'Control de lotes'!D10="",'Control de lotes'!F10=""),"falta dato",'Control de lotes'!J10-'Control de lotes'!D10*'Control de lotes'!F10))</f>
      </c>
      <c r="E10" s="32">
        <f>IF(A10="","",IF(OR('Control de lotes'!G10="",NOT(ISNUMBER(D10))),"falta dato",IF(D10&lt;=0,"falta dato",'Control de lotes'!G10/D10)))</f>
      </c>
      <c r="F10" s="33">
        <f>IF(A10="","",IF(OR(NOT(ISNUMBER(C10)),'Control de lotes'!F10="",NOT(ISNUMBER('Control de lotes'!I10))),"falta dato",IF('Control de lotes'!I10&lt;=0,"falta dato",(C10-'Control de lotes'!F10)/'Control de lotes'!I10)))</f>
      </c>
      <c r="G10" s="16">
        <f>IF(A10="","",IF(OR(NOT(ISNUMBER('Control de lotes'!H10)),'Control de lotes'!K10=0),"falta dato",IF('Control de lotes'!H10&lt;=0,"falta dato",'Control de lotes'!K10/'Control de lotes'!H10)))</f>
      </c>
      <c r="H10" s="16">
        <f>IF(A10="","",IF(OR('Control de lotes'!J10=0,'Control de lotes'!K10=0),"falta dato",'Control de lotes'!K10/'Control de lotes'!J10))</f>
      </c>
      <c r="I10" s="16">
        <f>IF(A10="","",IF(OR(NOT(ISNUMBER(D10)),'Control de lotes'!K10=0),"falta dato",IF(D10&lt;=0,"falta dato",('Control de lotes'!K10-'Control de lotes'!L10)/D10)))</f>
      </c>
      <c r="J10" s="16">
        <f>IF(A10="","",'Control de lotes'!N10)</f>
      </c>
      <c r="K10" s="30">
        <f>IF(A10="","",IF(NOT(ISNUMBER('Control de lotes'!N10)),"falta dato",IF('Control de lotes'!M10&lt;=0,"falta dato",'Control de lotes'!N10/'Control de lotes'!M10)))</f>
      </c>
      <c r="N10" s="37" t="s">
        <v>126</v>
      </c>
      <c r="O10" s="31">
        <f>IF(OR(O5="",NOT(ISNUMBER(O8))),"falta dato",IF(O8&lt;=0,"no existe: el precio no cubre el costo variable",O5/O8))</f>
      </c>
    </row>
    <row r="11" spans="1:15" x14ac:dyDescent="0.25">
      <c r="A11" s="29">
        <f>IF('Control de lotes'!A11="","",'Control de lotes'!A11)</f>
      </c>
      <c r="B11" s="30">
        <f>IF(A11="","",IF(OR('Control de lotes'!D11="",'Control de lotes'!D11=0),"falta dato",IF('Control de lotes'!E11="",0,'Control de lotes'!E11)/'Control de lotes'!D11))</f>
      </c>
      <c r="C11" s="31">
        <f>IF(A11="","",IF(OR(NOT(ISNUMBER('Control de lotes'!H11)),'Control de lotes'!J11=0),"falta dato",IF('Control de lotes'!H11&lt;=0,"falta dato",'Control de lotes'!J11/'Control de lotes'!H11)))</f>
      </c>
      <c r="D11" s="25">
        <f>IF(A11="","",IF(OR('Control de lotes'!J11=0,'Control de lotes'!D11="",'Control de lotes'!F11=""),"falta dato",'Control de lotes'!J11-'Control de lotes'!D11*'Control de lotes'!F11))</f>
      </c>
      <c r="E11" s="32">
        <f>IF(A11="","",IF(OR('Control de lotes'!G11="",NOT(ISNUMBER(D11))),"falta dato",IF(D11&lt;=0,"falta dato",'Control de lotes'!G11/D11)))</f>
      </c>
      <c r="F11" s="33">
        <f>IF(A11="","",IF(OR(NOT(ISNUMBER(C11)),'Control de lotes'!F11="",NOT(ISNUMBER('Control de lotes'!I11))),"falta dato",IF('Control de lotes'!I11&lt;=0,"falta dato",(C11-'Control de lotes'!F11)/'Control de lotes'!I11)))</f>
      </c>
      <c r="G11" s="16">
        <f>IF(A11="","",IF(OR(NOT(ISNUMBER('Control de lotes'!H11)),'Control de lotes'!K11=0),"falta dato",IF('Control de lotes'!H11&lt;=0,"falta dato",'Control de lotes'!K11/'Control de lotes'!H11)))</f>
      </c>
      <c r="H11" s="16">
        <f>IF(A11="","",IF(OR('Control de lotes'!J11=0,'Control de lotes'!K11=0),"falta dato",'Control de lotes'!K11/'Control de lotes'!J11))</f>
      </c>
      <c r="I11" s="16">
        <f>IF(A11="","",IF(OR(NOT(ISNUMBER(D11)),'Control de lotes'!K11=0),"falta dato",IF(D11&lt;=0,"falta dato",('Control de lotes'!K11-'Control de lotes'!L11)/D11)))</f>
      </c>
      <c r="J11" s="16">
        <f>IF(A11="","",'Control de lotes'!N11)</f>
      </c>
      <c r="K11" s="30">
        <f>IF(A11="","",IF(NOT(ISNUMBER('Control de lotes'!N11)),"falta dato",IF('Control de lotes'!M11&lt;=0,"falta dato",'Control de lotes'!N11/'Control de lotes'!M11)))</f>
      </c>
      <c r="N11" s="37" t="s">
        <v>127</v>
      </c>
      <c r="O11" s="24">
        <f>IF(ISNUMBER(O10),ROUNDUP(O10,0),O10)</f>
      </c>
    </row>
    <row r="12" spans="1:15" x14ac:dyDescent="0.25">
      <c r="A12" s="29">
        <f>IF('Control de lotes'!A12="","",'Control de lotes'!A12)</f>
      </c>
      <c r="B12" s="30">
        <f>IF(A12="","",IF(OR('Control de lotes'!D12="",'Control de lotes'!D12=0),"falta dato",IF('Control de lotes'!E12="",0,'Control de lotes'!E12)/'Control de lotes'!D12))</f>
      </c>
      <c r="C12" s="31">
        <f>IF(A12="","",IF(OR(NOT(ISNUMBER('Control de lotes'!H12)),'Control de lotes'!J12=0),"falta dato",IF('Control de lotes'!H12&lt;=0,"falta dato",'Control de lotes'!J12/'Control de lotes'!H12)))</f>
      </c>
      <c r="D12" s="25">
        <f>IF(A12="","",IF(OR('Control de lotes'!J12=0,'Control de lotes'!D12="",'Control de lotes'!F12=""),"falta dato",'Control de lotes'!J12-'Control de lotes'!D12*'Control de lotes'!F12))</f>
      </c>
      <c r="E12" s="32">
        <f>IF(A12="","",IF(OR('Control de lotes'!G12="",NOT(ISNUMBER(D12))),"falta dato",IF(D12&lt;=0,"falta dato",'Control de lotes'!G12/D12)))</f>
      </c>
      <c r="F12" s="33">
        <f>IF(A12="","",IF(OR(NOT(ISNUMBER(C12)),'Control de lotes'!F12="",NOT(ISNUMBER('Control de lotes'!I12))),"falta dato",IF('Control de lotes'!I12&lt;=0,"falta dato",(C12-'Control de lotes'!F12)/'Control de lotes'!I12)))</f>
      </c>
      <c r="G12" s="16">
        <f>IF(A12="","",IF(OR(NOT(ISNUMBER('Control de lotes'!H12)),'Control de lotes'!K12=0),"falta dato",IF('Control de lotes'!H12&lt;=0,"falta dato",'Control de lotes'!K12/'Control de lotes'!H12)))</f>
      </c>
      <c r="H12" s="16">
        <f>IF(A12="","",IF(OR('Control de lotes'!J12=0,'Control de lotes'!K12=0),"falta dato",'Control de lotes'!K12/'Control de lotes'!J12))</f>
      </c>
      <c r="I12" s="16">
        <f>IF(A12="","",IF(OR(NOT(ISNUMBER(D12)),'Control de lotes'!K12=0),"falta dato",IF(D12&lt;=0,"falta dato",('Control de lotes'!K12-'Control de lotes'!L12)/D12)))</f>
      </c>
      <c r="J12" s="16">
        <f>IF(A12="","",'Control de lotes'!N12)</f>
      </c>
      <c r="K12" s="30">
        <f>IF(A12="","",IF(NOT(ISNUMBER('Control de lotes'!N12)),"falta dato",IF('Control de lotes'!M12&lt;=0,"falta dato",'Control de lotes'!N12/'Control de lotes'!M12)))</f>
      </c>
      <c r="N12" s="37" t="s">
        <v>128</v>
      </c>
      <c r="O12" s="36">
        <f>IF(ISNUMBER(O10),O10*O6,O10)</f>
      </c>
    </row>
    <row r="13" spans="1:11" x14ac:dyDescent="0.25">
      <c r="A13" s="29">
        <f>IF('Control de lotes'!A13="","",'Control de lotes'!A13)</f>
      </c>
      <c r="B13" s="30">
        <f>IF(A13="","",IF(OR('Control de lotes'!D13="",'Control de lotes'!D13=0),"falta dato",IF('Control de lotes'!E13="",0,'Control de lotes'!E13)/'Control de lotes'!D13))</f>
      </c>
      <c r="C13" s="31">
        <f>IF(A13="","",IF(OR(NOT(ISNUMBER('Control de lotes'!H13)),'Control de lotes'!J13=0),"falta dato",IF('Control de lotes'!H13&lt;=0,"falta dato",'Control de lotes'!J13/'Control de lotes'!H13)))</f>
      </c>
      <c r="D13" s="25">
        <f>IF(A13="","",IF(OR('Control de lotes'!J13=0,'Control de lotes'!D13="",'Control de lotes'!F13=""),"falta dato",'Control de lotes'!J13-'Control de lotes'!D13*'Control de lotes'!F13))</f>
      </c>
      <c r="E13" s="32">
        <f>IF(A13="","",IF(OR('Control de lotes'!G13="",NOT(ISNUMBER(D13))),"falta dato",IF(D13&lt;=0,"falta dato",'Control de lotes'!G13/D13)))</f>
      </c>
      <c r="F13" s="33">
        <f>IF(A13="","",IF(OR(NOT(ISNUMBER(C13)),'Control de lotes'!F13="",NOT(ISNUMBER('Control de lotes'!I13))),"falta dato",IF('Control de lotes'!I13&lt;=0,"falta dato",(C13-'Control de lotes'!F13)/'Control de lotes'!I13)))</f>
      </c>
      <c r="G13" s="16">
        <f>IF(A13="","",IF(OR(NOT(ISNUMBER('Control de lotes'!H13)),'Control de lotes'!K13=0),"falta dato",IF('Control de lotes'!H13&lt;=0,"falta dato",'Control de lotes'!K13/'Control de lotes'!H13)))</f>
      </c>
      <c r="H13" s="16">
        <f>IF(A13="","",IF(OR('Control de lotes'!J13=0,'Control de lotes'!K13=0),"falta dato",'Control de lotes'!K13/'Control de lotes'!J13))</f>
      </c>
      <c r="I13" s="16">
        <f>IF(A13="","",IF(OR(NOT(ISNUMBER(D13)),'Control de lotes'!K13=0),"falta dato",IF(D13&lt;=0,"falta dato",('Control de lotes'!K13-'Control de lotes'!L13)/D13)))</f>
      </c>
      <c r="J13" s="16">
        <f>IF(A13="","",'Control de lotes'!N13)</f>
      </c>
      <c r="K13" s="30">
        <f>IF(A13="","",IF(NOT(ISNUMBER('Control de lotes'!N13)),"falta dato",IF('Control de lotes'!M13&lt;=0,"falta dato",'Control de lotes'!N13/'Control de lotes'!M13)))</f>
      </c>
    </row>
    <row r="14" spans="1:15" x14ac:dyDescent="0.25">
      <c r="A14" s="29">
        <f>IF('Control de lotes'!A14="","",'Control de lotes'!A14)</f>
      </c>
      <c r="B14" s="30">
        <f>IF(A14="","",IF(OR('Control de lotes'!D14="",'Control de lotes'!D14=0),"falta dato",IF('Control de lotes'!E14="",0,'Control de lotes'!E14)/'Control de lotes'!D14))</f>
      </c>
      <c r="C14" s="31">
        <f>IF(A14="","",IF(OR(NOT(ISNUMBER('Control de lotes'!H14)),'Control de lotes'!J14=0),"falta dato",IF('Control de lotes'!H14&lt;=0,"falta dato",'Control de lotes'!J14/'Control de lotes'!H14)))</f>
      </c>
      <c r="D14" s="25">
        <f>IF(A14="","",IF(OR('Control de lotes'!J14=0,'Control de lotes'!D14="",'Control de lotes'!F14=""),"falta dato",'Control de lotes'!J14-'Control de lotes'!D14*'Control de lotes'!F14))</f>
      </c>
      <c r="E14" s="32">
        <f>IF(A14="","",IF(OR('Control de lotes'!G14="",NOT(ISNUMBER(D14))),"falta dato",IF(D14&lt;=0,"falta dato",'Control de lotes'!G14/D14)))</f>
      </c>
      <c r="F14" s="33">
        <f>IF(A14="","",IF(OR(NOT(ISNUMBER(C14)),'Control de lotes'!F14="",NOT(ISNUMBER('Control de lotes'!I14))),"falta dato",IF('Control de lotes'!I14&lt;=0,"falta dato",(C14-'Control de lotes'!F14)/'Control de lotes'!I14)))</f>
      </c>
      <c r="G14" s="16">
        <f>IF(A14="","",IF(OR(NOT(ISNUMBER('Control de lotes'!H14)),'Control de lotes'!K14=0),"falta dato",IF('Control de lotes'!H14&lt;=0,"falta dato",'Control de lotes'!K14/'Control de lotes'!H14)))</f>
      </c>
      <c r="H14" s="16">
        <f>IF(A14="","",IF(OR('Control de lotes'!J14=0,'Control de lotes'!K14=0),"falta dato",'Control de lotes'!K14/'Control de lotes'!J14))</f>
      </c>
      <c r="I14" s="16">
        <f>IF(A14="","",IF(OR(NOT(ISNUMBER(D14)),'Control de lotes'!K14=0),"falta dato",IF(D14&lt;=0,"falta dato",('Control de lotes'!K14-'Control de lotes'!L14)/D14)))</f>
      </c>
      <c r="J14" s="16">
        <f>IF(A14="","",'Control de lotes'!N14)</f>
      </c>
      <c r="K14" s="30">
        <f>IF(A14="","",IF(NOT(ISNUMBER('Control de lotes'!N14)),"falta dato",IF('Control de lotes'!M14&lt;=0,"falta dato",'Control de lotes'!N14/'Control de lotes'!M14)))</f>
      </c>
      <c r="N14" s="38" t="s">
        <v>129</v>
      </c>
      <c r="O14" s="38"/>
    </row>
    <row r="15" spans="1:15" x14ac:dyDescent="0.25">
      <c r="A15" s="29">
        <f>IF('Control de lotes'!A15="","",'Control de lotes'!A15)</f>
      </c>
      <c r="B15" s="30">
        <f>IF(A15="","",IF(OR('Control de lotes'!D15="",'Control de lotes'!D15=0),"falta dato",IF('Control de lotes'!E15="",0,'Control de lotes'!E15)/'Control de lotes'!D15))</f>
      </c>
      <c r="C15" s="31">
        <f>IF(A15="","",IF(OR(NOT(ISNUMBER('Control de lotes'!H15)),'Control de lotes'!J15=0),"falta dato",IF('Control de lotes'!H15&lt;=0,"falta dato",'Control de lotes'!J15/'Control de lotes'!H15)))</f>
      </c>
      <c r="D15" s="25">
        <f>IF(A15="","",IF(OR('Control de lotes'!J15=0,'Control de lotes'!D15="",'Control de lotes'!F15=""),"falta dato",'Control de lotes'!J15-'Control de lotes'!D15*'Control de lotes'!F15))</f>
      </c>
      <c r="E15" s="32">
        <f>IF(A15="","",IF(OR('Control de lotes'!G15="",NOT(ISNUMBER(D15))),"falta dato",IF(D15&lt;=0,"falta dato",'Control de lotes'!G15/D15)))</f>
      </c>
      <c r="F15" s="33">
        <f>IF(A15="","",IF(OR(NOT(ISNUMBER(C15)),'Control de lotes'!F15="",NOT(ISNUMBER('Control de lotes'!I15))),"falta dato",IF('Control de lotes'!I15&lt;=0,"falta dato",(C15-'Control de lotes'!F15)/'Control de lotes'!I15)))</f>
      </c>
      <c r="G15" s="16">
        <f>IF(A15="","",IF(OR(NOT(ISNUMBER('Control de lotes'!H15)),'Control de lotes'!K15=0),"falta dato",IF('Control de lotes'!H15&lt;=0,"falta dato",'Control de lotes'!K15/'Control de lotes'!H15)))</f>
      </c>
      <c r="H15" s="16">
        <f>IF(A15="","",IF(OR('Control de lotes'!J15=0,'Control de lotes'!K15=0),"falta dato",'Control de lotes'!K15/'Control de lotes'!J15))</f>
      </c>
      <c r="I15" s="16">
        <f>IF(A15="","",IF(OR(NOT(ISNUMBER(D15)),'Control de lotes'!K15=0),"falta dato",IF(D15&lt;=0,"falta dato",('Control de lotes'!K15-'Control de lotes'!L15)/D15)))</f>
      </c>
      <c r="J15" s="16">
        <f>IF(A15="","",'Control de lotes'!N15)</f>
      </c>
      <c r="K15" s="30">
        <f>IF(A15="","",IF(NOT(ISNUMBER('Control de lotes'!N15)),"falta dato",IF('Control de lotes'!M15&lt;=0,"falta dato",'Control de lotes'!N15/'Control de lotes'!M15)))</f>
      </c>
      <c r="N15" s="38"/>
      <c r="O15" s="38"/>
    </row>
    <row r="16" spans="1:11" x14ac:dyDescent="0.25">
      <c r="A16" s="29">
        <f>IF('Control de lotes'!A16="","",'Control de lotes'!A16)</f>
      </c>
      <c r="B16" s="30">
        <f>IF(A16="","",IF(OR('Control de lotes'!D16="",'Control de lotes'!D16=0),"falta dato",IF('Control de lotes'!E16="",0,'Control de lotes'!E16)/'Control de lotes'!D16))</f>
      </c>
      <c r="C16" s="31">
        <f>IF(A16="","",IF(OR(NOT(ISNUMBER('Control de lotes'!H16)),'Control de lotes'!J16=0),"falta dato",IF('Control de lotes'!H16&lt;=0,"falta dato",'Control de lotes'!J16/'Control de lotes'!H16)))</f>
      </c>
      <c r="D16" s="25">
        <f>IF(A16="","",IF(OR('Control de lotes'!J16=0,'Control de lotes'!D16="",'Control de lotes'!F16=""),"falta dato",'Control de lotes'!J16-'Control de lotes'!D16*'Control de lotes'!F16))</f>
      </c>
      <c r="E16" s="32">
        <f>IF(A16="","",IF(OR('Control de lotes'!G16="",NOT(ISNUMBER(D16))),"falta dato",IF(D16&lt;=0,"falta dato",'Control de lotes'!G16/D16)))</f>
      </c>
      <c r="F16" s="33">
        <f>IF(A16="","",IF(OR(NOT(ISNUMBER(C16)),'Control de lotes'!F16="",NOT(ISNUMBER('Control de lotes'!I16))),"falta dato",IF('Control de lotes'!I16&lt;=0,"falta dato",(C16-'Control de lotes'!F16)/'Control de lotes'!I16)))</f>
      </c>
      <c r="G16" s="16">
        <f>IF(A16="","",IF(OR(NOT(ISNUMBER('Control de lotes'!H16)),'Control de lotes'!K16=0),"falta dato",IF('Control de lotes'!H16&lt;=0,"falta dato",'Control de lotes'!K16/'Control de lotes'!H16)))</f>
      </c>
      <c r="H16" s="16">
        <f>IF(A16="","",IF(OR('Control de lotes'!J16=0,'Control de lotes'!K16=0),"falta dato",'Control de lotes'!K16/'Control de lotes'!J16))</f>
      </c>
      <c r="I16" s="16">
        <f>IF(A16="","",IF(OR(NOT(ISNUMBER(D16)),'Control de lotes'!K16=0),"falta dato",IF(D16&lt;=0,"falta dato",('Control de lotes'!K16-'Control de lotes'!L16)/D16)))</f>
      </c>
      <c r="J16" s="16">
        <f>IF(A16="","",'Control de lotes'!N16)</f>
      </c>
      <c r="K16" s="30">
        <f>IF(A16="","",IF(NOT(ISNUMBER('Control de lotes'!N16)),"falta dato",IF('Control de lotes'!M16&lt;=0,"falta dato",'Control de lotes'!N16/'Control de lotes'!M16)))</f>
      </c>
    </row>
    <row r="17" spans="1:11" x14ac:dyDescent="0.25">
      <c r="A17" s="29">
        <f>IF('Control de lotes'!A17="","",'Control de lotes'!A17)</f>
      </c>
      <c r="B17" s="30">
        <f>IF(A17="","",IF(OR('Control de lotes'!D17="",'Control de lotes'!D17=0),"falta dato",IF('Control de lotes'!E17="",0,'Control de lotes'!E17)/'Control de lotes'!D17))</f>
      </c>
      <c r="C17" s="31">
        <f>IF(A17="","",IF(OR(NOT(ISNUMBER('Control de lotes'!H17)),'Control de lotes'!J17=0),"falta dato",IF('Control de lotes'!H17&lt;=0,"falta dato",'Control de lotes'!J17/'Control de lotes'!H17)))</f>
      </c>
      <c r="D17" s="25">
        <f>IF(A17="","",IF(OR('Control de lotes'!J17=0,'Control de lotes'!D17="",'Control de lotes'!F17=""),"falta dato",'Control de lotes'!J17-'Control de lotes'!D17*'Control de lotes'!F17))</f>
      </c>
      <c r="E17" s="32">
        <f>IF(A17="","",IF(OR('Control de lotes'!G17="",NOT(ISNUMBER(D17))),"falta dato",IF(D17&lt;=0,"falta dato",'Control de lotes'!G17/D17)))</f>
      </c>
      <c r="F17" s="33">
        <f>IF(A17="","",IF(OR(NOT(ISNUMBER(C17)),'Control de lotes'!F17="",NOT(ISNUMBER('Control de lotes'!I17))),"falta dato",IF('Control de lotes'!I17&lt;=0,"falta dato",(C17-'Control de lotes'!F17)/'Control de lotes'!I17)))</f>
      </c>
      <c r="G17" s="16">
        <f>IF(A17="","",IF(OR(NOT(ISNUMBER('Control de lotes'!H17)),'Control de lotes'!K17=0),"falta dato",IF('Control de lotes'!H17&lt;=0,"falta dato",'Control de lotes'!K17/'Control de lotes'!H17)))</f>
      </c>
      <c r="H17" s="16">
        <f>IF(A17="","",IF(OR('Control de lotes'!J17=0,'Control de lotes'!K17=0),"falta dato",'Control de lotes'!K17/'Control de lotes'!J17))</f>
      </c>
      <c r="I17" s="16">
        <f>IF(A17="","",IF(OR(NOT(ISNUMBER(D17)),'Control de lotes'!K17=0),"falta dato",IF(D17&lt;=0,"falta dato",('Control de lotes'!K17-'Control de lotes'!L17)/D17)))</f>
      </c>
      <c r="J17" s="16">
        <f>IF(A17="","",'Control de lotes'!N17)</f>
      </c>
      <c r="K17" s="30">
        <f>IF(A17="","",IF(NOT(ISNUMBER('Control de lotes'!N17)),"falta dato",IF('Control de lotes'!M17&lt;=0,"falta dato",'Control de lotes'!N17/'Control de lotes'!M17)))</f>
      </c>
    </row>
    <row r="18" spans="1:11" x14ac:dyDescent="0.25">
      <c r="A18" s="29">
        <f>IF('Control de lotes'!A18="","",'Control de lotes'!A18)</f>
      </c>
      <c r="B18" s="30">
        <f>IF(A18="","",IF(OR('Control de lotes'!D18="",'Control de lotes'!D18=0),"falta dato",IF('Control de lotes'!E18="",0,'Control de lotes'!E18)/'Control de lotes'!D18))</f>
      </c>
      <c r="C18" s="31">
        <f>IF(A18="","",IF(OR(NOT(ISNUMBER('Control de lotes'!H18)),'Control de lotes'!J18=0),"falta dato",IF('Control de lotes'!H18&lt;=0,"falta dato",'Control de lotes'!J18/'Control de lotes'!H18)))</f>
      </c>
      <c r="D18" s="25">
        <f>IF(A18="","",IF(OR('Control de lotes'!J18=0,'Control de lotes'!D18="",'Control de lotes'!F18=""),"falta dato",'Control de lotes'!J18-'Control de lotes'!D18*'Control de lotes'!F18))</f>
      </c>
      <c r="E18" s="32">
        <f>IF(A18="","",IF(OR('Control de lotes'!G18="",NOT(ISNUMBER(D18))),"falta dato",IF(D18&lt;=0,"falta dato",'Control de lotes'!G18/D18)))</f>
      </c>
      <c r="F18" s="33">
        <f>IF(A18="","",IF(OR(NOT(ISNUMBER(C18)),'Control de lotes'!F18="",NOT(ISNUMBER('Control de lotes'!I18))),"falta dato",IF('Control de lotes'!I18&lt;=0,"falta dato",(C18-'Control de lotes'!F18)/'Control de lotes'!I18)))</f>
      </c>
      <c r="G18" s="16">
        <f>IF(A18="","",IF(OR(NOT(ISNUMBER('Control de lotes'!H18)),'Control de lotes'!K18=0),"falta dato",IF('Control de lotes'!H18&lt;=0,"falta dato",'Control de lotes'!K18/'Control de lotes'!H18)))</f>
      </c>
      <c r="H18" s="16">
        <f>IF(A18="","",IF(OR('Control de lotes'!J18=0,'Control de lotes'!K18=0),"falta dato",'Control de lotes'!K18/'Control de lotes'!J18))</f>
      </c>
      <c r="I18" s="16">
        <f>IF(A18="","",IF(OR(NOT(ISNUMBER(D18)),'Control de lotes'!K18=0),"falta dato",IF(D18&lt;=0,"falta dato",('Control de lotes'!K18-'Control de lotes'!L18)/D18)))</f>
      </c>
      <c r="J18" s="16">
        <f>IF(A18="","",'Control de lotes'!N18)</f>
      </c>
      <c r="K18" s="30">
        <f>IF(A18="","",IF(NOT(ISNUMBER('Control de lotes'!N18)),"falta dato",IF('Control de lotes'!M18&lt;=0,"falta dato",'Control de lotes'!N18/'Control de lotes'!M18)))</f>
      </c>
    </row>
    <row r="19" spans="1:11" x14ac:dyDescent="0.25">
      <c r="A19" s="29">
        <f>IF('Control de lotes'!A19="","",'Control de lotes'!A19)</f>
      </c>
      <c r="B19" s="30">
        <f>IF(A19="","",IF(OR('Control de lotes'!D19="",'Control de lotes'!D19=0),"falta dato",IF('Control de lotes'!E19="",0,'Control de lotes'!E19)/'Control de lotes'!D19))</f>
      </c>
      <c r="C19" s="31">
        <f>IF(A19="","",IF(OR(NOT(ISNUMBER('Control de lotes'!H19)),'Control de lotes'!J19=0),"falta dato",IF('Control de lotes'!H19&lt;=0,"falta dato",'Control de lotes'!J19/'Control de lotes'!H19)))</f>
      </c>
      <c r="D19" s="25">
        <f>IF(A19="","",IF(OR('Control de lotes'!J19=0,'Control de lotes'!D19="",'Control de lotes'!F19=""),"falta dato",'Control de lotes'!J19-'Control de lotes'!D19*'Control de lotes'!F19))</f>
      </c>
      <c r="E19" s="32">
        <f>IF(A19="","",IF(OR('Control de lotes'!G19="",NOT(ISNUMBER(D19))),"falta dato",IF(D19&lt;=0,"falta dato",'Control de lotes'!G19/D19)))</f>
      </c>
      <c r="F19" s="33">
        <f>IF(A19="","",IF(OR(NOT(ISNUMBER(C19)),'Control de lotes'!F19="",NOT(ISNUMBER('Control de lotes'!I19))),"falta dato",IF('Control de lotes'!I19&lt;=0,"falta dato",(C19-'Control de lotes'!F19)/'Control de lotes'!I19)))</f>
      </c>
      <c r="G19" s="16">
        <f>IF(A19="","",IF(OR(NOT(ISNUMBER('Control de lotes'!H19)),'Control de lotes'!K19=0),"falta dato",IF('Control de lotes'!H19&lt;=0,"falta dato",'Control de lotes'!K19/'Control de lotes'!H19)))</f>
      </c>
      <c r="H19" s="16">
        <f>IF(A19="","",IF(OR('Control de lotes'!J19=0,'Control de lotes'!K19=0),"falta dato",'Control de lotes'!K19/'Control de lotes'!J19))</f>
      </c>
      <c r="I19" s="16">
        <f>IF(A19="","",IF(OR(NOT(ISNUMBER(D19)),'Control de lotes'!K19=0),"falta dato",IF(D19&lt;=0,"falta dato",('Control de lotes'!K19-'Control de lotes'!L19)/D19)))</f>
      </c>
      <c r="J19" s="16">
        <f>IF(A19="","",'Control de lotes'!N19)</f>
      </c>
      <c r="K19" s="30">
        <f>IF(A19="","",IF(NOT(ISNUMBER('Control de lotes'!N19)),"falta dato",IF('Control de lotes'!M19&lt;=0,"falta dato",'Control de lotes'!N19/'Control de lotes'!M19)))</f>
      </c>
    </row>
    <row r="20" spans="1:11" x14ac:dyDescent="0.25">
      <c r="A20" s="29">
        <f>IF('Control de lotes'!A20="","",'Control de lotes'!A20)</f>
      </c>
      <c r="B20" s="30">
        <f>IF(A20="","",IF(OR('Control de lotes'!D20="",'Control de lotes'!D20=0),"falta dato",IF('Control de lotes'!E20="",0,'Control de lotes'!E20)/'Control de lotes'!D20))</f>
      </c>
      <c r="C20" s="31">
        <f>IF(A20="","",IF(OR(NOT(ISNUMBER('Control de lotes'!H20)),'Control de lotes'!J20=0),"falta dato",IF('Control de lotes'!H20&lt;=0,"falta dato",'Control de lotes'!J20/'Control de lotes'!H20)))</f>
      </c>
      <c r="D20" s="25">
        <f>IF(A20="","",IF(OR('Control de lotes'!J20=0,'Control de lotes'!D20="",'Control de lotes'!F20=""),"falta dato",'Control de lotes'!J20-'Control de lotes'!D20*'Control de lotes'!F20))</f>
      </c>
      <c r="E20" s="32">
        <f>IF(A20="","",IF(OR('Control de lotes'!G20="",NOT(ISNUMBER(D20))),"falta dato",IF(D20&lt;=0,"falta dato",'Control de lotes'!G20/D20)))</f>
      </c>
      <c r="F20" s="33">
        <f>IF(A20="","",IF(OR(NOT(ISNUMBER(C20)),'Control de lotes'!F20="",NOT(ISNUMBER('Control de lotes'!I20))),"falta dato",IF('Control de lotes'!I20&lt;=0,"falta dato",(C20-'Control de lotes'!F20)/'Control de lotes'!I20)))</f>
      </c>
      <c r="G20" s="16">
        <f>IF(A20="","",IF(OR(NOT(ISNUMBER('Control de lotes'!H20)),'Control de lotes'!K20=0),"falta dato",IF('Control de lotes'!H20&lt;=0,"falta dato",'Control de lotes'!K20/'Control de lotes'!H20)))</f>
      </c>
      <c r="H20" s="16">
        <f>IF(A20="","",IF(OR('Control de lotes'!J20=0,'Control de lotes'!K20=0),"falta dato",'Control de lotes'!K20/'Control de lotes'!J20))</f>
      </c>
      <c r="I20" s="16">
        <f>IF(A20="","",IF(OR(NOT(ISNUMBER(D20)),'Control de lotes'!K20=0),"falta dato",IF(D20&lt;=0,"falta dato",('Control de lotes'!K20-'Control de lotes'!L20)/D20)))</f>
      </c>
      <c r="J20" s="16">
        <f>IF(A20="","",'Control de lotes'!N20)</f>
      </c>
      <c r="K20" s="30">
        <f>IF(A20="","",IF(NOT(ISNUMBER('Control de lotes'!N20)),"falta dato",IF('Control de lotes'!M20&lt;=0,"falta dato",'Control de lotes'!N20/'Control de lotes'!M20)))</f>
      </c>
    </row>
    <row r="21" spans="1:11" x14ac:dyDescent="0.25">
      <c r="A21" s="29">
        <f>IF('Control de lotes'!A21="","",'Control de lotes'!A21)</f>
      </c>
      <c r="B21" s="30">
        <f>IF(A21="","",IF(OR('Control de lotes'!D21="",'Control de lotes'!D21=0),"falta dato",IF('Control de lotes'!E21="",0,'Control de lotes'!E21)/'Control de lotes'!D21))</f>
      </c>
      <c r="C21" s="31">
        <f>IF(A21="","",IF(OR(NOT(ISNUMBER('Control de lotes'!H21)),'Control de lotes'!J21=0),"falta dato",IF('Control de lotes'!H21&lt;=0,"falta dato",'Control de lotes'!J21/'Control de lotes'!H21)))</f>
      </c>
      <c r="D21" s="25">
        <f>IF(A21="","",IF(OR('Control de lotes'!J21=0,'Control de lotes'!D21="",'Control de lotes'!F21=""),"falta dato",'Control de lotes'!J21-'Control de lotes'!D21*'Control de lotes'!F21))</f>
      </c>
      <c r="E21" s="32">
        <f>IF(A21="","",IF(OR('Control de lotes'!G21="",NOT(ISNUMBER(D21))),"falta dato",IF(D21&lt;=0,"falta dato",'Control de lotes'!G21/D21)))</f>
      </c>
      <c r="F21" s="33">
        <f>IF(A21="","",IF(OR(NOT(ISNUMBER(C21)),'Control de lotes'!F21="",NOT(ISNUMBER('Control de lotes'!I21))),"falta dato",IF('Control de lotes'!I21&lt;=0,"falta dato",(C21-'Control de lotes'!F21)/'Control de lotes'!I21)))</f>
      </c>
      <c r="G21" s="16">
        <f>IF(A21="","",IF(OR(NOT(ISNUMBER('Control de lotes'!H21)),'Control de lotes'!K21=0),"falta dato",IF('Control de lotes'!H21&lt;=0,"falta dato",'Control de lotes'!K21/'Control de lotes'!H21)))</f>
      </c>
      <c r="H21" s="16">
        <f>IF(A21="","",IF(OR('Control de lotes'!J21=0,'Control de lotes'!K21=0),"falta dato",'Control de lotes'!K21/'Control de lotes'!J21))</f>
      </c>
      <c r="I21" s="16">
        <f>IF(A21="","",IF(OR(NOT(ISNUMBER(D21)),'Control de lotes'!K21=0),"falta dato",IF(D21&lt;=0,"falta dato",('Control de lotes'!K21-'Control de lotes'!L21)/D21)))</f>
      </c>
      <c r="J21" s="16">
        <f>IF(A21="","",'Control de lotes'!N21)</f>
      </c>
      <c r="K21" s="30">
        <f>IF(A21="","",IF(NOT(ISNUMBER('Control de lotes'!N21)),"falta dato",IF('Control de lotes'!M21&lt;=0,"falta dato",'Control de lotes'!N21/'Control de lotes'!M21)))</f>
      </c>
    </row>
    <row r="22" spans="1:11" x14ac:dyDescent="0.25">
      <c r="A22" s="29">
        <f>IF('Control de lotes'!A22="","",'Control de lotes'!A22)</f>
      </c>
      <c r="B22" s="30">
        <f>IF(A22="","",IF(OR('Control de lotes'!D22="",'Control de lotes'!D22=0),"falta dato",IF('Control de lotes'!E22="",0,'Control de lotes'!E22)/'Control de lotes'!D22))</f>
      </c>
      <c r="C22" s="31">
        <f>IF(A22="","",IF(OR(NOT(ISNUMBER('Control de lotes'!H22)),'Control de lotes'!J22=0),"falta dato",IF('Control de lotes'!H22&lt;=0,"falta dato",'Control de lotes'!J22/'Control de lotes'!H22)))</f>
      </c>
      <c r="D22" s="25">
        <f>IF(A22="","",IF(OR('Control de lotes'!J22=0,'Control de lotes'!D22="",'Control de lotes'!F22=""),"falta dato",'Control de lotes'!J22-'Control de lotes'!D22*'Control de lotes'!F22))</f>
      </c>
      <c r="E22" s="32">
        <f>IF(A22="","",IF(OR('Control de lotes'!G22="",NOT(ISNUMBER(D22))),"falta dato",IF(D22&lt;=0,"falta dato",'Control de lotes'!G22/D22)))</f>
      </c>
      <c r="F22" s="33">
        <f>IF(A22="","",IF(OR(NOT(ISNUMBER(C22)),'Control de lotes'!F22="",NOT(ISNUMBER('Control de lotes'!I22))),"falta dato",IF('Control de lotes'!I22&lt;=0,"falta dato",(C22-'Control de lotes'!F22)/'Control de lotes'!I22)))</f>
      </c>
      <c r="G22" s="16">
        <f>IF(A22="","",IF(OR(NOT(ISNUMBER('Control de lotes'!H22)),'Control de lotes'!K22=0),"falta dato",IF('Control de lotes'!H22&lt;=0,"falta dato",'Control de lotes'!K22/'Control de lotes'!H22)))</f>
      </c>
      <c r="H22" s="16">
        <f>IF(A22="","",IF(OR('Control de lotes'!J22=0,'Control de lotes'!K22=0),"falta dato",'Control de lotes'!K22/'Control de lotes'!J22))</f>
      </c>
      <c r="I22" s="16">
        <f>IF(A22="","",IF(OR(NOT(ISNUMBER(D22)),'Control de lotes'!K22=0),"falta dato",IF(D22&lt;=0,"falta dato",('Control de lotes'!K22-'Control de lotes'!L22)/D22)))</f>
      </c>
      <c r="J22" s="16">
        <f>IF(A22="","",'Control de lotes'!N22)</f>
      </c>
      <c r="K22" s="30">
        <f>IF(A22="","",IF(NOT(ISNUMBER('Control de lotes'!N22)),"falta dato",IF('Control de lotes'!M22&lt;=0,"falta dato",'Control de lotes'!N22/'Control de lotes'!M22)))</f>
      </c>
    </row>
    <row r="23" spans="1:11" x14ac:dyDescent="0.25">
      <c r="A23" s="29">
        <f>IF('Control de lotes'!A23="","",'Control de lotes'!A23)</f>
      </c>
      <c r="B23" s="30">
        <f>IF(A23="","",IF(OR('Control de lotes'!D23="",'Control de lotes'!D23=0),"falta dato",IF('Control de lotes'!E23="",0,'Control de lotes'!E23)/'Control de lotes'!D23))</f>
      </c>
      <c r="C23" s="31">
        <f>IF(A23="","",IF(OR(NOT(ISNUMBER('Control de lotes'!H23)),'Control de lotes'!J23=0),"falta dato",IF('Control de lotes'!H23&lt;=0,"falta dato",'Control de lotes'!J23/'Control de lotes'!H23)))</f>
      </c>
      <c r="D23" s="25">
        <f>IF(A23="","",IF(OR('Control de lotes'!J23=0,'Control de lotes'!D23="",'Control de lotes'!F23=""),"falta dato",'Control de lotes'!J23-'Control de lotes'!D23*'Control de lotes'!F23))</f>
      </c>
      <c r="E23" s="32">
        <f>IF(A23="","",IF(OR('Control de lotes'!G23="",NOT(ISNUMBER(D23))),"falta dato",IF(D23&lt;=0,"falta dato",'Control de lotes'!G23/D23)))</f>
      </c>
      <c r="F23" s="33">
        <f>IF(A23="","",IF(OR(NOT(ISNUMBER(C23)),'Control de lotes'!F23="",NOT(ISNUMBER('Control de lotes'!I23))),"falta dato",IF('Control de lotes'!I23&lt;=0,"falta dato",(C23-'Control de lotes'!F23)/'Control de lotes'!I23)))</f>
      </c>
      <c r="G23" s="16">
        <f>IF(A23="","",IF(OR(NOT(ISNUMBER('Control de lotes'!H23)),'Control de lotes'!K23=0),"falta dato",IF('Control de lotes'!H23&lt;=0,"falta dato",'Control de lotes'!K23/'Control de lotes'!H23)))</f>
      </c>
      <c r="H23" s="16">
        <f>IF(A23="","",IF(OR('Control de lotes'!J23=0,'Control de lotes'!K23=0),"falta dato",'Control de lotes'!K23/'Control de lotes'!J23))</f>
      </c>
      <c r="I23" s="16">
        <f>IF(A23="","",IF(OR(NOT(ISNUMBER(D23)),'Control de lotes'!K23=0),"falta dato",IF(D23&lt;=0,"falta dato",('Control de lotes'!K23-'Control de lotes'!L23)/D23)))</f>
      </c>
      <c r="J23" s="16">
        <f>IF(A23="","",'Control de lotes'!N23)</f>
      </c>
      <c r="K23" s="30">
        <f>IF(A23="","",IF(NOT(ISNUMBER('Control de lotes'!N23)),"falta dato",IF('Control de lotes'!M23&lt;=0,"falta dato",'Control de lotes'!N23/'Control de lotes'!M23)))</f>
      </c>
    </row>
    <row r="24" spans="1:11" x14ac:dyDescent="0.25">
      <c r="A24" s="29">
        <f>IF('Control de lotes'!A24="","",'Control de lotes'!A24)</f>
      </c>
      <c r="B24" s="30">
        <f>IF(A24="","",IF(OR('Control de lotes'!D24="",'Control de lotes'!D24=0),"falta dato",IF('Control de lotes'!E24="",0,'Control de lotes'!E24)/'Control de lotes'!D24))</f>
      </c>
      <c r="C24" s="31">
        <f>IF(A24="","",IF(OR(NOT(ISNUMBER('Control de lotes'!H24)),'Control de lotes'!J24=0),"falta dato",IF('Control de lotes'!H24&lt;=0,"falta dato",'Control de lotes'!J24/'Control de lotes'!H24)))</f>
      </c>
      <c r="D24" s="25">
        <f>IF(A24="","",IF(OR('Control de lotes'!J24=0,'Control de lotes'!D24="",'Control de lotes'!F24=""),"falta dato",'Control de lotes'!J24-'Control de lotes'!D24*'Control de lotes'!F24))</f>
      </c>
      <c r="E24" s="32">
        <f>IF(A24="","",IF(OR('Control de lotes'!G24="",NOT(ISNUMBER(D24))),"falta dato",IF(D24&lt;=0,"falta dato",'Control de lotes'!G24/D24)))</f>
      </c>
      <c r="F24" s="33">
        <f>IF(A24="","",IF(OR(NOT(ISNUMBER(C24)),'Control de lotes'!F24="",NOT(ISNUMBER('Control de lotes'!I24))),"falta dato",IF('Control de lotes'!I24&lt;=0,"falta dato",(C24-'Control de lotes'!F24)/'Control de lotes'!I24)))</f>
      </c>
      <c r="G24" s="16">
        <f>IF(A24="","",IF(OR(NOT(ISNUMBER('Control de lotes'!H24)),'Control de lotes'!K24=0),"falta dato",IF('Control de lotes'!H24&lt;=0,"falta dato",'Control de lotes'!K24/'Control de lotes'!H24)))</f>
      </c>
      <c r="H24" s="16">
        <f>IF(A24="","",IF(OR('Control de lotes'!J24=0,'Control de lotes'!K24=0),"falta dato",'Control de lotes'!K24/'Control de lotes'!J24))</f>
      </c>
      <c r="I24" s="16">
        <f>IF(A24="","",IF(OR(NOT(ISNUMBER(D24)),'Control de lotes'!K24=0),"falta dato",IF(D24&lt;=0,"falta dato",('Control de lotes'!K24-'Control de lotes'!L24)/D24)))</f>
      </c>
      <c r="J24" s="16">
        <f>IF(A24="","",'Control de lotes'!N24)</f>
      </c>
      <c r="K24" s="30">
        <f>IF(A24="","",IF(NOT(ISNUMBER('Control de lotes'!N24)),"falta dato",IF('Control de lotes'!M24&lt;=0,"falta dato",'Control de lotes'!N24/'Control de lotes'!M24)))</f>
      </c>
    </row>
    <row r="25" spans="1:11" x14ac:dyDescent="0.25">
      <c r="A25" s="29">
        <f>IF('Control de lotes'!A25="","",'Control de lotes'!A25)</f>
      </c>
      <c r="B25" s="30">
        <f>IF(A25="","",IF(OR('Control de lotes'!D25="",'Control de lotes'!D25=0),"falta dato",IF('Control de lotes'!E25="",0,'Control de lotes'!E25)/'Control de lotes'!D25))</f>
      </c>
      <c r="C25" s="31">
        <f>IF(A25="","",IF(OR(NOT(ISNUMBER('Control de lotes'!H25)),'Control de lotes'!J25=0),"falta dato",IF('Control de lotes'!H25&lt;=0,"falta dato",'Control de lotes'!J25/'Control de lotes'!H25)))</f>
      </c>
      <c r="D25" s="25">
        <f>IF(A25="","",IF(OR('Control de lotes'!J25=0,'Control de lotes'!D25="",'Control de lotes'!F25=""),"falta dato",'Control de lotes'!J25-'Control de lotes'!D25*'Control de lotes'!F25))</f>
      </c>
      <c r="E25" s="32">
        <f>IF(A25="","",IF(OR('Control de lotes'!G25="",NOT(ISNUMBER(D25))),"falta dato",IF(D25&lt;=0,"falta dato",'Control de lotes'!G25/D25)))</f>
      </c>
      <c r="F25" s="33">
        <f>IF(A25="","",IF(OR(NOT(ISNUMBER(C25)),'Control de lotes'!F25="",NOT(ISNUMBER('Control de lotes'!I25))),"falta dato",IF('Control de lotes'!I25&lt;=0,"falta dato",(C25-'Control de lotes'!F25)/'Control de lotes'!I25)))</f>
      </c>
      <c r="G25" s="16">
        <f>IF(A25="","",IF(OR(NOT(ISNUMBER('Control de lotes'!H25)),'Control de lotes'!K25=0),"falta dato",IF('Control de lotes'!H25&lt;=0,"falta dato",'Control de lotes'!K25/'Control de lotes'!H25)))</f>
      </c>
      <c r="H25" s="16">
        <f>IF(A25="","",IF(OR('Control de lotes'!J25=0,'Control de lotes'!K25=0),"falta dato",'Control de lotes'!K25/'Control de lotes'!J25))</f>
      </c>
      <c r="I25" s="16">
        <f>IF(A25="","",IF(OR(NOT(ISNUMBER(D25)),'Control de lotes'!K25=0),"falta dato",IF(D25&lt;=0,"falta dato",('Control de lotes'!K25-'Control de lotes'!L25)/D25)))</f>
      </c>
      <c r="J25" s="16">
        <f>IF(A25="","",'Control de lotes'!N25)</f>
      </c>
      <c r="K25" s="30">
        <f>IF(A25="","",IF(NOT(ISNUMBER('Control de lotes'!N25)),"falta dato",IF('Control de lotes'!M25&lt;=0,"falta dato",'Control de lotes'!N25/'Control de lotes'!M25)))</f>
      </c>
    </row>
    <row r="26" spans="1:11" x14ac:dyDescent="0.25">
      <c r="A26" s="29">
        <f>IF('Control de lotes'!A26="","",'Control de lotes'!A26)</f>
      </c>
      <c r="B26" s="30">
        <f>IF(A26="","",IF(OR('Control de lotes'!D26="",'Control de lotes'!D26=0),"falta dato",IF('Control de lotes'!E26="",0,'Control de lotes'!E26)/'Control de lotes'!D26))</f>
      </c>
      <c r="C26" s="31">
        <f>IF(A26="","",IF(OR(NOT(ISNUMBER('Control de lotes'!H26)),'Control de lotes'!J26=0),"falta dato",IF('Control de lotes'!H26&lt;=0,"falta dato",'Control de lotes'!J26/'Control de lotes'!H26)))</f>
      </c>
      <c r="D26" s="25">
        <f>IF(A26="","",IF(OR('Control de lotes'!J26=0,'Control de lotes'!D26="",'Control de lotes'!F26=""),"falta dato",'Control de lotes'!J26-'Control de lotes'!D26*'Control de lotes'!F26))</f>
      </c>
      <c r="E26" s="32">
        <f>IF(A26="","",IF(OR('Control de lotes'!G26="",NOT(ISNUMBER(D26))),"falta dato",IF(D26&lt;=0,"falta dato",'Control de lotes'!G26/D26)))</f>
      </c>
      <c r="F26" s="33">
        <f>IF(A26="","",IF(OR(NOT(ISNUMBER(C26)),'Control de lotes'!F26="",NOT(ISNUMBER('Control de lotes'!I26))),"falta dato",IF('Control de lotes'!I26&lt;=0,"falta dato",(C26-'Control de lotes'!F26)/'Control de lotes'!I26)))</f>
      </c>
      <c r="G26" s="16">
        <f>IF(A26="","",IF(OR(NOT(ISNUMBER('Control de lotes'!H26)),'Control de lotes'!K26=0),"falta dato",IF('Control de lotes'!H26&lt;=0,"falta dato",'Control de lotes'!K26/'Control de lotes'!H26)))</f>
      </c>
      <c r="H26" s="16">
        <f>IF(A26="","",IF(OR('Control de lotes'!J26=0,'Control de lotes'!K26=0),"falta dato",'Control de lotes'!K26/'Control de lotes'!J26))</f>
      </c>
      <c r="I26" s="16">
        <f>IF(A26="","",IF(OR(NOT(ISNUMBER(D26)),'Control de lotes'!K26=0),"falta dato",IF(D26&lt;=0,"falta dato",('Control de lotes'!K26-'Control de lotes'!L26)/D26)))</f>
      </c>
      <c r="J26" s="16">
        <f>IF(A26="","",'Control de lotes'!N26)</f>
      </c>
      <c r="K26" s="30">
        <f>IF(A26="","",IF(NOT(ISNUMBER('Control de lotes'!N26)),"falta dato",IF('Control de lotes'!M26&lt;=0,"falta dato",'Control de lotes'!N26/'Control de lotes'!M26)))</f>
      </c>
    </row>
    <row r="27" spans="1:11" x14ac:dyDescent="0.25">
      <c r="A27" s="29">
        <f>IF('Control de lotes'!A27="","",'Control de lotes'!A27)</f>
      </c>
      <c r="B27" s="30">
        <f>IF(A27="","",IF(OR('Control de lotes'!D27="",'Control de lotes'!D27=0),"falta dato",IF('Control de lotes'!E27="",0,'Control de lotes'!E27)/'Control de lotes'!D27))</f>
      </c>
      <c r="C27" s="31">
        <f>IF(A27="","",IF(OR(NOT(ISNUMBER('Control de lotes'!H27)),'Control de lotes'!J27=0),"falta dato",IF('Control de lotes'!H27&lt;=0,"falta dato",'Control de lotes'!J27/'Control de lotes'!H27)))</f>
      </c>
      <c r="D27" s="25">
        <f>IF(A27="","",IF(OR('Control de lotes'!J27=0,'Control de lotes'!D27="",'Control de lotes'!F27=""),"falta dato",'Control de lotes'!J27-'Control de lotes'!D27*'Control de lotes'!F27))</f>
      </c>
      <c r="E27" s="32">
        <f>IF(A27="","",IF(OR('Control de lotes'!G27="",NOT(ISNUMBER(D27))),"falta dato",IF(D27&lt;=0,"falta dato",'Control de lotes'!G27/D27)))</f>
      </c>
      <c r="F27" s="33">
        <f>IF(A27="","",IF(OR(NOT(ISNUMBER(C27)),'Control de lotes'!F27="",NOT(ISNUMBER('Control de lotes'!I27))),"falta dato",IF('Control de lotes'!I27&lt;=0,"falta dato",(C27-'Control de lotes'!F27)/'Control de lotes'!I27)))</f>
      </c>
      <c r="G27" s="16">
        <f>IF(A27="","",IF(OR(NOT(ISNUMBER('Control de lotes'!H27)),'Control de lotes'!K27=0),"falta dato",IF('Control de lotes'!H27&lt;=0,"falta dato",'Control de lotes'!K27/'Control de lotes'!H27)))</f>
      </c>
      <c r="H27" s="16">
        <f>IF(A27="","",IF(OR('Control de lotes'!J27=0,'Control de lotes'!K27=0),"falta dato",'Control de lotes'!K27/'Control de lotes'!J27))</f>
      </c>
      <c r="I27" s="16">
        <f>IF(A27="","",IF(OR(NOT(ISNUMBER(D27)),'Control de lotes'!K27=0),"falta dato",IF(D27&lt;=0,"falta dato",('Control de lotes'!K27-'Control de lotes'!L27)/D27)))</f>
      </c>
      <c r="J27" s="16">
        <f>IF(A27="","",'Control de lotes'!N27)</f>
      </c>
      <c r="K27" s="30">
        <f>IF(A27="","",IF(NOT(ISNUMBER('Control de lotes'!N27)),"falta dato",IF('Control de lotes'!M27&lt;=0,"falta dato",'Control de lotes'!N27/'Control de lotes'!M27)))</f>
      </c>
    </row>
    <row r="28" spans="1:11" x14ac:dyDescent="0.25">
      <c r="A28" s="29">
        <f>IF('Control de lotes'!A28="","",'Control de lotes'!A28)</f>
      </c>
      <c r="B28" s="30">
        <f>IF(A28="","",IF(OR('Control de lotes'!D28="",'Control de lotes'!D28=0),"falta dato",IF('Control de lotes'!E28="",0,'Control de lotes'!E28)/'Control de lotes'!D28))</f>
      </c>
      <c r="C28" s="31">
        <f>IF(A28="","",IF(OR(NOT(ISNUMBER('Control de lotes'!H28)),'Control de lotes'!J28=0),"falta dato",IF('Control de lotes'!H28&lt;=0,"falta dato",'Control de lotes'!J28/'Control de lotes'!H28)))</f>
      </c>
      <c r="D28" s="25">
        <f>IF(A28="","",IF(OR('Control de lotes'!J28=0,'Control de lotes'!D28="",'Control de lotes'!F28=""),"falta dato",'Control de lotes'!J28-'Control de lotes'!D28*'Control de lotes'!F28))</f>
      </c>
      <c r="E28" s="32">
        <f>IF(A28="","",IF(OR('Control de lotes'!G28="",NOT(ISNUMBER(D28))),"falta dato",IF(D28&lt;=0,"falta dato",'Control de lotes'!G28/D28)))</f>
      </c>
      <c r="F28" s="33">
        <f>IF(A28="","",IF(OR(NOT(ISNUMBER(C28)),'Control de lotes'!F28="",NOT(ISNUMBER('Control de lotes'!I28))),"falta dato",IF('Control de lotes'!I28&lt;=0,"falta dato",(C28-'Control de lotes'!F28)/'Control de lotes'!I28)))</f>
      </c>
      <c r="G28" s="16">
        <f>IF(A28="","",IF(OR(NOT(ISNUMBER('Control de lotes'!H28)),'Control de lotes'!K28=0),"falta dato",IF('Control de lotes'!H28&lt;=0,"falta dato",'Control de lotes'!K28/'Control de lotes'!H28)))</f>
      </c>
      <c r="H28" s="16">
        <f>IF(A28="","",IF(OR('Control de lotes'!J28=0,'Control de lotes'!K28=0),"falta dato",'Control de lotes'!K28/'Control de lotes'!J28))</f>
      </c>
      <c r="I28" s="16">
        <f>IF(A28="","",IF(OR(NOT(ISNUMBER(D28)),'Control de lotes'!K28=0),"falta dato",IF(D28&lt;=0,"falta dato",('Control de lotes'!K28-'Control de lotes'!L28)/D28)))</f>
      </c>
      <c r="J28" s="16">
        <f>IF(A28="","",'Control de lotes'!N28)</f>
      </c>
      <c r="K28" s="30">
        <f>IF(A28="","",IF(NOT(ISNUMBER('Control de lotes'!N28)),"falta dato",IF('Control de lotes'!M28&lt;=0,"falta dato",'Control de lotes'!N28/'Control de lotes'!M28)))</f>
      </c>
    </row>
    <row r="29" spans="1:11" x14ac:dyDescent="0.25">
      <c r="A29" s="29">
        <f>IF('Control de lotes'!A29="","",'Control de lotes'!A29)</f>
      </c>
      <c r="B29" s="30">
        <f>IF(A29="","",IF(OR('Control de lotes'!D29="",'Control de lotes'!D29=0),"falta dato",IF('Control de lotes'!E29="",0,'Control de lotes'!E29)/'Control de lotes'!D29))</f>
      </c>
      <c r="C29" s="31">
        <f>IF(A29="","",IF(OR(NOT(ISNUMBER('Control de lotes'!H29)),'Control de lotes'!J29=0),"falta dato",IF('Control de lotes'!H29&lt;=0,"falta dato",'Control de lotes'!J29/'Control de lotes'!H29)))</f>
      </c>
      <c r="D29" s="25">
        <f>IF(A29="","",IF(OR('Control de lotes'!J29=0,'Control de lotes'!D29="",'Control de lotes'!F29=""),"falta dato",'Control de lotes'!J29-'Control de lotes'!D29*'Control de lotes'!F29))</f>
      </c>
      <c r="E29" s="32">
        <f>IF(A29="","",IF(OR('Control de lotes'!G29="",NOT(ISNUMBER(D29))),"falta dato",IF(D29&lt;=0,"falta dato",'Control de lotes'!G29/D29)))</f>
      </c>
      <c r="F29" s="33">
        <f>IF(A29="","",IF(OR(NOT(ISNUMBER(C29)),'Control de lotes'!F29="",NOT(ISNUMBER('Control de lotes'!I29))),"falta dato",IF('Control de lotes'!I29&lt;=0,"falta dato",(C29-'Control de lotes'!F29)/'Control de lotes'!I29)))</f>
      </c>
      <c r="G29" s="16">
        <f>IF(A29="","",IF(OR(NOT(ISNUMBER('Control de lotes'!H29)),'Control de lotes'!K29=0),"falta dato",IF('Control de lotes'!H29&lt;=0,"falta dato",'Control de lotes'!K29/'Control de lotes'!H29)))</f>
      </c>
      <c r="H29" s="16">
        <f>IF(A29="","",IF(OR('Control de lotes'!J29=0,'Control de lotes'!K29=0),"falta dato",'Control de lotes'!K29/'Control de lotes'!J29))</f>
      </c>
      <c r="I29" s="16">
        <f>IF(A29="","",IF(OR(NOT(ISNUMBER(D29)),'Control de lotes'!K29=0),"falta dato",IF(D29&lt;=0,"falta dato",('Control de lotes'!K29-'Control de lotes'!L29)/D29)))</f>
      </c>
      <c r="J29" s="16">
        <f>IF(A29="","",'Control de lotes'!N29)</f>
      </c>
      <c r="K29" s="30">
        <f>IF(A29="","",IF(NOT(ISNUMBER('Control de lotes'!N29)),"falta dato",IF('Control de lotes'!M29&lt;=0,"falta dato",'Control de lotes'!N29/'Control de lotes'!M29)))</f>
      </c>
    </row>
    <row r="30" spans="1:11" x14ac:dyDescent="0.25">
      <c r="A30" s="29">
        <f>IF('Control de lotes'!A30="","",'Control de lotes'!A30)</f>
      </c>
      <c r="B30" s="30">
        <f>IF(A30="","",IF(OR('Control de lotes'!D30="",'Control de lotes'!D30=0),"falta dato",IF('Control de lotes'!E30="",0,'Control de lotes'!E30)/'Control de lotes'!D30))</f>
      </c>
      <c r="C30" s="31">
        <f>IF(A30="","",IF(OR(NOT(ISNUMBER('Control de lotes'!H30)),'Control de lotes'!J30=0),"falta dato",IF('Control de lotes'!H30&lt;=0,"falta dato",'Control de lotes'!J30/'Control de lotes'!H30)))</f>
      </c>
      <c r="D30" s="25">
        <f>IF(A30="","",IF(OR('Control de lotes'!J30=0,'Control de lotes'!D30="",'Control de lotes'!F30=""),"falta dato",'Control de lotes'!J30-'Control de lotes'!D30*'Control de lotes'!F30))</f>
      </c>
      <c r="E30" s="32">
        <f>IF(A30="","",IF(OR('Control de lotes'!G30="",NOT(ISNUMBER(D30))),"falta dato",IF(D30&lt;=0,"falta dato",'Control de lotes'!G30/D30)))</f>
      </c>
      <c r="F30" s="33">
        <f>IF(A30="","",IF(OR(NOT(ISNUMBER(C30)),'Control de lotes'!F30="",NOT(ISNUMBER('Control de lotes'!I30))),"falta dato",IF('Control de lotes'!I30&lt;=0,"falta dato",(C30-'Control de lotes'!F30)/'Control de lotes'!I30)))</f>
      </c>
      <c r="G30" s="16">
        <f>IF(A30="","",IF(OR(NOT(ISNUMBER('Control de lotes'!H30)),'Control de lotes'!K30=0),"falta dato",IF('Control de lotes'!H30&lt;=0,"falta dato",'Control de lotes'!K30/'Control de lotes'!H30)))</f>
      </c>
      <c r="H30" s="16">
        <f>IF(A30="","",IF(OR('Control de lotes'!J30=0,'Control de lotes'!K30=0),"falta dato",'Control de lotes'!K30/'Control de lotes'!J30))</f>
      </c>
      <c r="I30" s="16">
        <f>IF(A30="","",IF(OR(NOT(ISNUMBER(D30)),'Control de lotes'!K30=0),"falta dato",IF(D30&lt;=0,"falta dato",('Control de lotes'!K30-'Control de lotes'!L30)/D30)))</f>
      </c>
      <c r="J30" s="16">
        <f>IF(A30="","",'Control de lotes'!N30)</f>
      </c>
      <c r="K30" s="30">
        <f>IF(A30="","",IF(NOT(ISNUMBER('Control de lotes'!N30)),"falta dato",IF('Control de lotes'!M30&lt;=0,"falta dato",'Control de lotes'!N30/'Control de lotes'!M30)))</f>
      </c>
    </row>
    <row r="31" spans="1:11" x14ac:dyDescent="0.25">
      <c r="A31" s="29">
        <f>IF('Control de lotes'!A31="","",'Control de lotes'!A31)</f>
      </c>
      <c r="B31" s="30">
        <f>IF(A31="","",IF(OR('Control de lotes'!D31="",'Control de lotes'!D31=0),"falta dato",IF('Control de lotes'!E31="",0,'Control de lotes'!E31)/'Control de lotes'!D31))</f>
      </c>
      <c r="C31" s="31">
        <f>IF(A31="","",IF(OR(NOT(ISNUMBER('Control de lotes'!H31)),'Control de lotes'!J31=0),"falta dato",IF('Control de lotes'!H31&lt;=0,"falta dato",'Control de lotes'!J31/'Control de lotes'!H31)))</f>
      </c>
      <c r="D31" s="25">
        <f>IF(A31="","",IF(OR('Control de lotes'!J31=0,'Control de lotes'!D31="",'Control de lotes'!F31=""),"falta dato",'Control de lotes'!J31-'Control de lotes'!D31*'Control de lotes'!F31))</f>
      </c>
      <c r="E31" s="32">
        <f>IF(A31="","",IF(OR('Control de lotes'!G31="",NOT(ISNUMBER(D31))),"falta dato",IF(D31&lt;=0,"falta dato",'Control de lotes'!G31/D31)))</f>
      </c>
      <c r="F31" s="33">
        <f>IF(A31="","",IF(OR(NOT(ISNUMBER(C31)),'Control de lotes'!F31="",NOT(ISNUMBER('Control de lotes'!I31))),"falta dato",IF('Control de lotes'!I31&lt;=0,"falta dato",(C31-'Control de lotes'!F31)/'Control de lotes'!I31)))</f>
      </c>
      <c r="G31" s="16">
        <f>IF(A31="","",IF(OR(NOT(ISNUMBER('Control de lotes'!H31)),'Control de lotes'!K31=0),"falta dato",IF('Control de lotes'!H31&lt;=0,"falta dato",'Control de lotes'!K31/'Control de lotes'!H31)))</f>
      </c>
      <c r="H31" s="16">
        <f>IF(A31="","",IF(OR('Control de lotes'!J31=0,'Control de lotes'!K31=0),"falta dato",'Control de lotes'!K31/'Control de lotes'!J31))</f>
      </c>
      <c r="I31" s="16">
        <f>IF(A31="","",IF(OR(NOT(ISNUMBER(D31)),'Control de lotes'!K31=0),"falta dato",IF(D31&lt;=0,"falta dato",('Control de lotes'!K31-'Control de lotes'!L31)/D31)))</f>
      </c>
      <c r="J31" s="16">
        <f>IF(A31="","",'Control de lotes'!N31)</f>
      </c>
      <c r="K31" s="30">
        <f>IF(A31="","",IF(NOT(ISNUMBER('Control de lotes'!N31)),"falta dato",IF('Control de lotes'!M31&lt;=0,"falta dato",'Control de lotes'!N31/'Control de lotes'!M31)))</f>
      </c>
    </row>
    <row r="32" spans="1:11" x14ac:dyDescent="0.25">
      <c r="A32" s="29">
        <f>IF('Control de lotes'!A32="","",'Control de lotes'!A32)</f>
      </c>
      <c r="B32" s="30">
        <f>IF(A32="","",IF(OR('Control de lotes'!D32="",'Control de lotes'!D32=0),"falta dato",IF('Control de lotes'!E32="",0,'Control de lotes'!E32)/'Control de lotes'!D32))</f>
      </c>
      <c r="C32" s="31">
        <f>IF(A32="","",IF(OR(NOT(ISNUMBER('Control de lotes'!H32)),'Control de lotes'!J32=0),"falta dato",IF('Control de lotes'!H32&lt;=0,"falta dato",'Control de lotes'!J32/'Control de lotes'!H32)))</f>
      </c>
      <c r="D32" s="25">
        <f>IF(A32="","",IF(OR('Control de lotes'!J32=0,'Control de lotes'!D32="",'Control de lotes'!F32=""),"falta dato",'Control de lotes'!J32-'Control de lotes'!D32*'Control de lotes'!F32))</f>
      </c>
      <c r="E32" s="32">
        <f>IF(A32="","",IF(OR('Control de lotes'!G32="",NOT(ISNUMBER(D32))),"falta dato",IF(D32&lt;=0,"falta dato",'Control de lotes'!G32/D32)))</f>
      </c>
      <c r="F32" s="33">
        <f>IF(A32="","",IF(OR(NOT(ISNUMBER(C32)),'Control de lotes'!F32="",NOT(ISNUMBER('Control de lotes'!I32))),"falta dato",IF('Control de lotes'!I32&lt;=0,"falta dato",(C32-'Control de lotes'!F32)/'Control de lotes'!I32)))</f>
      </c>
      <c r="G32" s="16">
        <f>IF(A32="","",IF(OR(NOT(ISNUMBER('Control de lotes'!H32)),'Control de lotes'!K32=0),"falta dato",IF('Control de lotes'!H32&lt;=0,"falta dato",'Control de lotes'!K32/'Control de lotes'!H32)))</f>
      </c>
      <c r="H32" s="16">
        <f>IF(A32="","",IF(OR('Control de lotes'!J32=0,'Control de lotes'!K32=0),"falta dato",'Control de lotes'!K32/'Control de lotes'!J32))</f>
      </c>
      <c r="I32" s="16">
        <f>IF(A32="","",IF(OR(NOT(ISNUMBER(D32)),'Control de lotes'!K32=0),"falta dato",IF(D32&lt;=0,"falta dato",('Control de lotes'!K32-'Control de lotes'!L32)/D32)))</f>
      </c>
      <c r="J32" s="16">
        <f>IF(A32="","",'Control de lotes'!N32)</f>
      </c>
      <c r="K32" s="30">
        <f>IF(A32="","",IF(NOT(ISNUMBER('Control de lotes'!N32)),"falta dato",IF('Control de lotes'!M32&lt;=0,"falta dato",'Control de lotes'!N32/'Control de lotes'!M32)))</f>
      </c>
    </row>
    <row r="33" spans="1:11" x14ac:dyDescent="0.25">
      <c r="A33" s="29">
        <f>IF('Control de lotes'!A33="","",'Control de lotes'!A33)</f>
      </c>
      <c r="B33" s="30">
        <f>IF(A33="","",IF(OR('Control de lotes'!D33="",'Control de lotes'!D33=0),"falta dato",IF('Control de lotes'!E33="",0,'Control de lotes'!E33)/'Control de lotes'!D33))</f>
      </c>
      <c r="C33" s="31">
        <f>IF(A33="","",IF(OR(NOT(ISNUMBER('Control de lotes'!H33)),'Control de lotes'!J33=0),"falta dato",IF('Control de lotes'!H33&lt;=0,"falta dato",'Control de lotes'!J33/'Control de lotes'!H33)))</f>
      </c>
      <c r="D33" s="25">
        <f>IF(A33="","",IF(OR('Control de lotes'!J33=0,'Control de lotes'!D33="",'Control de lotes'!F33=""),"falta dato",'Control de lotes'!J33-'Control de lotes'!D33*'Control de lotes'!F33))</f>
      </c>
      <c r="E33" s="32">
        <f>IF(A33="","",IF(OR('Control de lotes'!G33="",NOT(ISNUMBER(D33))),"falta dato",IF(D33&lt;=0,"falta dato",'Control de lotes'!G33/D33)))</f>
      </c>
      <c r="F33" s="33">
        <f>IF(A33="","",IF(OR(NOT(ISNUMBER(C33)),'Control de lotes'!F33="",NOT(ISNUMBER('Control de lotes'!I33))),"falta dato",IF('Control de lotes'!I33&lt;=0,"falta dato",(C33-'Control de lotes'!F33)/'Control de lotes'!I33)))</f>
      </c>
      <c r="G33" s="16">
        <f>IF(A33="","",IF(OR(NOT(ISNUMBER('Control de lotes'!H33)),'Control de lotes'!K33=0),"falta dato",IF('Control de lotes'!H33&lt;=0,"falta dato",'Control de lotes'!K33/'Control de lotes'!H33)))</f>
      </c>
      <c r="H33" s="16">
        <f>IF(A33="","",IF(OR('Control de lotes'!J33=0,'Control de lotes'!K33=0),"falta dato",'Control de lotes'!K33/'Control de lotes'!J33))</f>
      </c>
      <c r="I33" s="16">
        <f>IF(A33="","",IF(OR(NOT(ISNUMBER(D33)),'Control de lotes'!K33=0),"falta dato",IF(D33&lt;=0,"falta dato",('Control de lotes'!K33-'Control de lotes'!L33)/D33)))</f>
      </c>
      <c r="J33" s="16">
        <f>IF(A33="","",'Control de lotes'!N33)</f>
      </c>
      <c r="K33" s="30">
        <f>IF(A33="","",IF(NOT(ISNUMBER('Control de lotes'!N33)),"falta dato",IF('Control de lotes'!M33&lt;=0,"falta dato",'Control de lotes'!N33/'Control de lotes'!M33)))</f>
      </c>
    </row>
    <row r="34" spans="1:11" x14ac:dyDescent="0.25">
      <c r="A34" s="29">
        <f>IF('Control de lotes'!A34="","",'Control de lotes'!A34)</f>
      </c>
      <c r="B34" s="30">
        <f>IF(A34="","",IF(OR('Control de lotes'!D34="",'Control de lotes'!D34=0),"falta dato",IF('Control de lotes'!E34="",0,'Control de lotes'!E34)/'Control de lotes'!D34))</f>
      </c>
      <c r="C34" s="31">
        <f>IF(A34="","",IF(OR(NOT(ISNUMBER('Control de lotes'!H34)),'Control de lotes'!J34=0),"falta dato",IF('Control de lotes'!H34&lt;=0,"falta dato",'Control de lotes'!J34/'Control de lotes'!H34)))</f>
      </c>
      <c r="D34" s="25">
        <f>IF(A34="","",IF(OR('Control de lotes'!J34=0,'Control de lotes'!D34="",'Control de lotes'!F34=""),"falta dato",'Control de lotes'!J34-'Control de lotes'!D34*'Control de lotes'!F34))</f>
      </c>
      <c r="E34" s="32">
        <f>IF(A34="","",IF(OR('Control de lotes'!G34="",NOT(ISNUMBER(D34))),"falta dato",IF(D34&lt;=0,"falta dato",'Control de lotes'!G34/D34)))</f>
      </c>
      <c r="F34" s="33">
        <f>IF(A34="","",IF(OR(NOT(ISNUMBER(C34)),'Control de lotes'!F34="",NOT(ISNUMBER('Control de lotes'!I34))),"falta dato",IF('Control de lotes'!I34&lt;=0,"falta dato",(C34-'Control de lotes'!F34)/'Control de lotes'!I34)))</f>
      </c>
      <c r="G34" s="16">
        <f>IF(A34="","",IF(OR(NOT(ISNUMBER('Control de lotes'!H34)),'Control de lotes'!K34=0),"falta dato",IF('Control de lotes'!H34&lt;=0,"falta dato",'Control de lotes'!K34/'Control de lotes'!H34)))</f>
      </c>
      <c r="H34" s="16">
        <f>IF(A34="","",IF(OR('Control de lotes'!J34=0,'Control de lotes'!K34=0),"falta dato",'Control de lotes'!K34/'Control de lotes'!J34))</f>
      </c>
      <c r="I34" s="16">
        <f>IF(A34="","",IF(OR(NOT(ISNUMBER(D34)),'Control de lotes'!K34=0),"falta dato",IF(D34&lt;=0,"falta dato",('Control de lotes'!K34-'Control de lotes'!L34)/D34)))</f>
      </c>
      <c r="J34" s="16">
        <f>IF(A34="","",'Control de lotes'!N34)</f>
      </c>
      <c r="K34" s="30">
        <f>IF(A34="","",IF(NOT(ISNUMBER('Control de lotes'!N34)),"falta dato",IF('Control de lotes'!M34&lt;=0,"falta dato",'Control de lotes'!N34/'Control de lotes'!M34)))</f>
      </c>
    </row>
    <row r="35" spans="1:11" x14ac:dyDescent="0.25">
      <c r="A35" s="29">
        <f>IF('Control de lotes'!A35="","",'Control de lotes'!A35)</f>
      </c>
      <c r="B35" s="30">
        <f>IF(A35="","",IF(OR('Control de lotes'!D35="",'Control de lotes'!D35=0),"falta dato",IF('Control de lotes'!E35="",0,'Control de lotes'!E35)/'Control de lotes'!D35))</f>
      </c>
      <c r="C35" s="31">
        <f>IF(A35="","",IF(OR(NOT(ISNUMBER('Control de lotes'!H35)),'Control de lotes'!J35=0),"falta dato",IF('Control de lotes'!H35&lt;=0,"falta dato",'Control de lotes'!J35/'Control de lotes'!H35)))</f>
      </c>
      <c r="D35" s="25">
        <f>IF(A35="","",IF(OR('Control de lotes'!J35=0,'Control de lotes'!D35="",'Control de lotes'!F35=""),"falta dato",'Control de lotes'!J35-'Control de lotes'!D35*'Control de lotes'!F35))</f>
      </c>
      <c r="E35" s="32">
        <f>IF(A35="","",IF(OR('Control de lotes'!G35="",NOT(ISNUMBER(D35))),"falta dato",IF(D35&lt;=0,"falta dato",'Control de lotes'!G35/D35)))</f>
      </c>
      <c r="F35" s="33">
        <f>IF(A35="","",IF(OR(NOT(ISNUMBER(C35)),'Control de lotes'!F35="",NOT(ISNUMBER('Control de lotes'!I35))),"falta dato",IF('Control de lotes'!I35&lt;=0,"falta dato",(C35-'Control de lotes'!F35)/'Control de lotes'!I35)))</f>
      </c>
      <c r="G35" s="16">
        <f>IF(A35="","",IF(OR(NOT(ISNUMBER('Control de lotes'!H35)),'Control de lotes'!K35=0),"falta dato",IF('Control de lotes'!H35&lt;=0,"falta dato",'Control de lotes'!K35/'Control de lotes'!H35)))</f>
      </c>
      <c r="H35" s="16">
        <f>IF(A35="","",IF(OR('Control de lotes'!J35=0,'Control de lotes'!K35=0),"falta dato",'Control de lotes'!K35/'Control de lotes'!J35))</f>
      </c>
      <c r="I35" s="16">
        <f>IF(A35="","",IF(OR(NOT(ISNUMBER(D35)),'Control de lotes'!K35=0),"falta dato",IF(D35&lt;=0,"falta dato",('Control de lotes'!K35-'Control de lotes'!L35)/D35)))</f>
      </c>
      <c r="J35" s="16">
        <f>IF(A35="","",'Control de lotes'!N35)</f>
      </c>
      <c r="K35" s="30">
        <f>IF(A35="","",IF(NOT(ISNUMBER('Control de lotes'!N35)),"falta dato",IF('Control de lotes'!M35&lt;=0,"falta dato",'Control de lotes'!N35/'Control de lotes'!M35)))</f>
      </c>
    </row>
    <row r="36" spans="1:11" x14ac:dyDescent="0.25">
      <c r="A36" s="29">
        <f>IF('Control de lotes'!A36="","",'Control de lotes'!A36)</f>
      </c>
      <c r="B36" s="30">
        <f>IF(A36="","",IF(OR('Control de lotes'!D36="",'Control de lotes'!D36=0),"falta dato",IF('Control de lotes'!E36="",0,'Control de lotes'!E36)/'Control de lotes'!D36))</f>
      </c>
      <c r="C36" s="31">
        <f>IF(A36="","",IF(OR(NOT(ISNUMBER('Control de lotes'!H36)),'Control de lotes'!J36=0),"falta dato",IF('Control de lotes'!H36&lt;=0,"falta dato",'Control de lotes'!J36/'Control de lotes'!H36)))</f>
      </c>
      <c r="D36" s="25">
        <f>IF(A36="","",IF(OR('Control de lotes'!J36=0,'Control de lotes'!D36="",'Control de lotes'!F36=""),"falta dato",'Control de lotes'!J36-'Control de lotes'!D36*'Control de lotes'!F36))</f>
      </c>
      <c r="E36" s="32">
        <f>IF(A36="","",IF(OR('Control de lotes'!G36="",NOT(ISNUMBER(D36))),"falta dato",IF(D36&lt;=0,"falta dato",'Control de lotes'!G36/D36)))</f>
      </c>
      <c r="F36" s="33">
        <f>IF(A36="","",IF(OR(NOT(ISNUMBER(C36)),'Control de lotes'!F36="",NOT(ISNUMBER('Control de lotes'!I36))),"falta dato",IF('Control de lotes'!I36&lt;=0,"falta dato",(C36-'Control de lotes'!F36)/'Control de lotes'!I36)))</f>
      </c>
      <c r="G36" s="16">
        <f>IF(A36="","",IF(OR(NOT(ISNUMBER('Control de lotes'!H36)),'Control de lotes'!K36=0),"falta dato",IF('Control de lotes'!H36&lt;=0,"falta dato",'Control de lotes'!K36/'Control de lotes'!H36)))</f>
      </c>
      <c r="H36" s="16">
        <f>IF(A36="","",IF(OR('Control de lotes'!J36=0,'Control de lotes'!K36=0),"falta dato",'Control de lotes'!K36/'Control de lotes'!J36))</f>
      </c>
      <c r="I36" s="16">
        <f>IF(A36="","",IF(OR(NOT(ISNUMBER(D36)),'Control de lotes'!K36=0),"falta dato",IF(D36&lt;=0,"falta dato",('Control de lotes'!K36-'Control de lotes'!L36)/D36)))</f>
      </c>
      <c r="J36" s="16">
        <f>IF(A36="","",'Control de lotes'!N36)</f>
      </c>
      <c r="K36" s="30">
        <f>IF(A36="","",IF(NOT(ISNUMBER('Control de lotes'!N36)),"falta dato",IF('Control de lotes'!M36&lt;=0,"falta dato",'Control de lotes'!N36/'Control de lotes'!M36)))</f>
      </c>
    </row>
    <row r="37" spans="1:11" x14ac:dyDescent="0.25">
      <c r="A37" s="29">
        <f>IF('Control de lotes'!A37="","",'Control de lotes'!A37)</f>
      </c>
      <c r="B37" s="30">
        <f>IF(A37="","",IF(OR('Control de lotes'!D37="",'Control de lotes'!D37=0),"falta dato",IF('Control de lotes'!E37="",0,'Control de lotes'!E37)/'Control de lotes'!D37))</f>
      </c>
      <c r="C37" s="31">
        <f>IF(A37="","",IF(OR(NOT(ISNUMBER('Control de lotes'!H37)),'Control de lotes'!J37=0),"falta dato",IF('Control de lotes'!H37&lt;=0,"falta dato",'Control de lotes'!J37/'Control de lotes'!H37)))</f>
      </c>
      <c r="D37" s="25">
        <f>IF(A37="","",IF(OR('Control de lotes'!J37=0,'Control de lotes'!D37="",'Control de lotes'!F37=""),"falta dato",'Control de lotes'!J37-'Control de lotes'!D37*'Control de lotes'!F37))</f>
      </c>
      <c r="E37" s="32">
        <f>IF(A37="","",IF(OR('Control de lotes'!G37="",NOT(ISNUMBER(D37))),"falta dato",IF(D37&lt;=0,"falta dato",'Control de lotes'!G37/D37)))</f>
      </c>
      <c r="F37" s="33">
        <f>IF(A37="","",IF(OR(NOT(ISNUMBER(C37)),'Control de lotes'!F37="",NOT(ISNUMBER('Control de lotes'!I37))),"falta dato",IF('Control de lotes'!I37&lt;=0,"falta dato",(C37-'Control de lotes'!F37)/'Control de lotes'!I37)))</f>
      </c>
      <c r="G37" s="16">
        <f>IF(A37="","",IF(OR(NOT(ISNUMBER('Control de lotes'!H37)),'Control de lotes'!K37=0),"falta dato",IF('Control de lotes'!H37&lt;=0,"falta dato",'Control de lotes'!K37/'Control de lotes'!H37)))</f>
      </c>
      <c r="H37" s="16">
        <f>IF(A37="","",IF(OR('Control de lotes'!J37=0,'Control de lotes'!K37=0),"falta dato",'Control de lotes'!K37/'Control de lotes'!J37))</f>
      </c>
      <c r="I37" s="16">
        <f>IF(A37="","",IF(OR(NOT(ISNUMBER(D37)),'Control de lotes'!K37=0),"falta dato",IF(D37&lt;=0,"falta dato",('Control de lotes'!K37-'Control de lotes'!L37)/D37)))</f>
      </c>
      <c r="J37" s="16">
        <f>IF(A37="","",'Control de lotes'!N37)</f>
      </c>
      <c r="K37" s="30">
        <f>IF(A37="","",IF(NOT(ISNUMBER('Control de lotes'!N37)),"falta dato",IF('Control de lotes'!M37&lt;=0,"falta dato",'Control de lotes'!N37/'Control de lotes'!M37)))</f>
      </c>
    </row>
    <row r="38" spans="1:11" x14ac:dyDescent="0.25">
      <c r="A38" s="29">
        <f>IF('Control de lotes'!A38="","",'Control de lotes'!A38)</f>
      </c>
      <c r="B38" s="30">
        <f>IF(A38="","",IF(OR('Control de lotes'!D38="",'Control de lotes'!D38=0),"falta dato",IF('Control de lotes'!E38="",0,'Control de lotes'!E38)/'Control de lotes'!D38))</f>
      </c>
      <c r="C38" s="31">
        <f>IF(A38="","",IF(OR(NOT(ISNUMBER('Control de lotes'!H38)),'Control de lotes'!J38=0),"falta dato",IF('Control de lotes'!H38&lt;=0,"falta dato",'Control de lotes'!J38/'Control de lotes'!H38)))</f>
      </c>
      <c r="D38" s="25">
        <f>IF(A38="","",IF(OR('Control de lotes'!J38=0,'Control de lotes'!D38="",'Control de lotes'!F38=""),"falta dato",'Control de lotes'!J38-'Control de lotes'!D38*'Control de lotes'!F38))</f>
      </c>
      <c r="E38" s="32">
        <f>IF(A38="","",IF(OR('Control de lotes'!G38="",NOT(ISNUMBER(D38))),"falta dato",IF(D38&lt;=0,"falta dato",'Control de lotes'!G38/D38)))</f>
      </c>
      <c r="F38" s="33">
        <f>IF(A38="","",IF(OR(NOT(ISNUMBER(C38)),'Control de lotes'!F38="",NOT(ISNUMBER('Control de lotes'!I38))),"falta dato",IF('Control de lotes'!I38&lt;=0,"falta dato",(C38-'Control de lotes'!F38)/'Control de lotes'!I38)))</f>
      </c>
      <c r="G38" s="16">
        <f>IF(A38="","",IF(OR(NOT(ISNUMBER('Control de lotes'!H38)),'Control de lotes'!K38=0),"falta dato",IF('Control de lotes'!H38&lt;=0,"falta dato",'Control de lotes'!K38/'Control de lotes'!H38)))</f>
      </c>
      <c r="H38" s="16">
        <f>IF(A38="","",IF(OR('Control de lotes'!J38=0,'Control de lotes'!K38=0),"falta dato",'Control de lotes'!K38/'Control de lotes'!J38))</f>
      </c>
      <c r="I38" s="16">
        <f>IF(A38="","",IF(OR(NOT(ISNUMBER(D38)),'Control de lotes'!K38=0),"falta dato",IF(D38&lt;=0,"falta dato",('Control de lotes'!K38-'Control de lotes'!L38)/D38)))</f>
      </c>
      <c r="J38" s="16">
        <f>IF(A38="","",'Control de lotes'!N38)</f>
      </c>
      <c r="K38" s="30">
        <f>IF(A38="","",IF(NOT(ISNUMBER('Control de lotes'!N38)),"falta dato",IF('Control de lotes'!M38&lt;=0,"falta dato",'Control de lotes'!N38/'Control de lotes'!M38)))</f>
      </c>
    </row>
    <row r="39" spans="1:11" x14ac:dyDescent="0.25">
      <c r="A39" s="29">
        <f>IF('Control de lotes'!A39="","",'Control de lotes'!A39)</f>
      </c>
      <c r="B39" s="30">
        <f>IF(A39="","",IF(OR('Control de lotes'!D39="",'Control de lotes'!D39=0),"falta dato",IF('Control de lotes'!E39="",0,'Control de lotes'!E39)/'Control de lotes'!D39))</f>
      </c>
      <c r="C39" s="31">
        <f>IF(A39="","",IF(OR(NOT(ISNUMBER('Control de lotes'!H39)),'Control de lotes'!J39=0),"falta dato",IF('Control de lotes'!H39&lt;=0,"falta dato",'Control de lotes'!J39/'Control de lotes'!H39)))</f>
      </c>
      <c r="D39" s="25">
        <f>IF(A39="","",IF(OR('Control de lotes'!J39=0,'Control de lotes'!D39="",'Control de lotes'!F39=""),"falta dato",'Control de lotes'!J39-'Control de lotes'!D39*'Control de lotes'!F39))</f>
      </c>
      <c r="E39" s="32">
        <f>IF(A39="","",IF(OR('Control de lotes'!G39="",NOT(ISNUMBER(D39))),"falta dato",IF(D39&lt;=0,"falta dato",'Control de lotes'!G39/D39)))</f>
      </c>
      <c r="F39" s="33">
        <f>IF(A39="","",IF(OR(NOT(ISNUMBER(C39)),'Control de lotes'!F39="",NOT(ISNUMBER('Control de lotes'!I39))),"falta dato",IF('Control de lotes'!I39&lt;=0,"falta dato",(C39-'Control de lotes'!F39)/'Control de lotes'!I39)))</f>
      </c>
      <c r="G39" s="16">
        <f>IF(A39="","",IF(OR(NOT(ISNUMBER('Control de lotes'!H39)),'Control de lotes'!K39=0),"falta dato",IF('Control de lotes'!H39&lt;=0,"falta dato",'Control de lotes'!K39/'Control de lotes'!H39)))</f>
      </c>
      <c r="H39" s="16">
        <f>IF(A39="","",IF(OR('Control de lotes'!J39=0,'Control de lotes'!K39=0),"falta dato",'Control de lotes'!K39/'Control de lotes'!J39))</f>
      </c>
      <c r="I39" s="16">
        <f>IF(A39="","",IF(OR(NOT(ISNUMBER(D39)),'Control de lotes'!K39=0),"falta dato",IF(D39&lt;=0,"falta dato",('Control de lotes'!K39-'Control de lotes'!L39)/D39)))</f>
      </c>
      <c r="J39" s="16">
        <f>IF(A39="","",'Control de lotes'!N39)</f>
      </c>
      <c r="K39" s="30">
        <f>IF(A39="","",IF(NOT(ISNUMBER('Control de lotes'!N39)),"falta dato",IF('Control de lotes'!M39&lt;=0,"falta dato",'Control de lotes'!N39/'Control de lotes'!M39)))</f>
      </c>
    </row>
    <row r="40" spans="1:11" x14ac:dyDescent="0.25">
      <c r="A40" s="29">
        <f>IF('Control de lotes'!A40="","",'Control de lotes'!A40)</f>
      </c>
      <c r="B40" s="30">
        <f>IF(A40="","",IF(OR('Control de lotes'!D40="",'Control de lotes'!D40=0),"falta dato",IF('Control de lotes'!E40="",0,'Control de lotes'!E40)/'Control de lotes'!D40))</f>
      </c>
      <c r="C40" s="31">
        <f>IF(A40="","",IF(OR(NOT(ISNUMBER('Control de lotes'!H40)),'Control de lotes'!J40=0),"falta dato",IF('Control de lotes'!H40&lt;=0,"falta dato",'Control de lotes'!J40/'Control de lotes'!H40)))</f>
      </c>
      <c r="D40" s="25">
        <f>IF(A40="","",IF(OR('Control de lotes'!J40=0,'Control de lotes'!D40="",'Control de lotes'!F40=""),"falta dato",'Control de lotes'!J40-'Control de lotes'!D40*'Control de lotes'!F40))</f>
      </c>
      <c r="E40" s="32">
        <f>IF(A40="","",IF(OR('Control de lotes'!G40="",NOT(ISNUMBER(D40))),"falta dato",IF(D40&lt;=0,"falta dato",'Control de lotes'!G40/D40)))</f>
      </c>
      <c r="F40" s="33">
        <f>IF(A40="","",IF(OR(NOT(ISNUMBER(C40)),'Control de lotes'!F40="",NOT(ISNUMBER('Control de lotes'!I40))),"falta dato",IF('Control de lotes'!I40&lt;=0,"falta dato",(C40-'Control de lotes'!F40)/'Control de lotes'!I40)))</f>
      </c>
      <c r="G40" s="16">
        <f>IF(A40="","",IF(OR(NOT(ISNUMBER('Control de lotes'!H40)),'Control de lotes'!K40=0),"falta dato",IF('Control de lotes'!H40&lt;=0,"falta dato",'Control de lotes'!K40/'Control de lotes'!H40)))</f>
      </c>
      <c r="H40" s="16">
        <f>IF(A40="","",IF(OR('Control de lotes'!J40=0,'Control de lotes'!K40=0),"falta dato",'Control de lotes'!K40/'Control de lotes'!J40))</f>
      </c>
      <c r="I40" s="16">
        <f>IF(A40="","",IF(OR(NOT(ISNUMBER(D40)),'Control de lotes'!K40=0),"falta dato",IF(D40&lt;=0,"falta dato",('Control de lotes'!K40-'Control de lotes'!L40)/D40)))</f>
      </c>
      <c r="J40" s="16">
        <f>IF(A40="","",'Control de lotes'!N40)</f>
      </c>
      <c r="K40" s="30">
        <f>IF(A40="","",IF(NOT(ISNUMBER('Control de lotes'!N40)),"falta dato",IF('Control de lotes'!M40&lt;=0,"falta dato",'Control de lotes'!N40/'Control de lotes'!M40)))</f>
      </c>
    </row>
    <row r="41" spans="1:11" x14ac:dyDescent="0.25">
      <c r="A41" s="29">
        <f>IF('Control de lotes'!A41="","",'Control de lotes'!A41)</f>
      </c>
      <c r="B41" s="30">
        <f>IF(A41="","",IF(OR('Control de lotes'!D41="",'Control de lotes'!D41=0),"falta dato",IF('Control de lotes'!E41="",0,'Control de lotes'!E41)/'Control de lotes'!D41))</f>
      </c>
      <c r="C41" s="31">
        <f>IF(A41="","",IF(OR(NOT(ISNUMBER('Control de lotes'!H41)),'Control de lotes'!J41=0),"falta dato",IF('Control de lotes'!H41&lt;=0,"falta dato",'Control de lotes'!J41/'Control de lotes'!H41)))</f>
      </c>
      <c r="D41" s="25">
        <f>IF(A41="","",IF(OR('Control de lotes'!J41=0,'Control de lotes'!D41="",'Control de lotes'!F41=""),"falta dato",'Control de lotes'!J41-'Control de lotes'!D41*'Control de lotes'!F41))</f>
      </c>
      <c r="E41" s="32">
        <f>IF(A41="","",IF(OR('Control de lotes'!G41="",NOT(ISNUMBER(D41))),"falta dato",IF(D41&lt;=0,"falta dato",'Control de lotes'!G41/D41)))</f>
      </c>
      <c r="F41" s="33">
        <f>IF(A41="","",IF(OR(NOT(ISNUMBER(C41)),'Control de lotes'!F41="",NOT(ISNUMBER('Control de lotes'!I41))),"falta dato",IF('Control de lotes'!I41&lt;=0,"falta dato",(C41-'Control de lotes'!F41)/'Control de lotes'!I41)))</f>
      </c>
      <c r="G41" s="16">
        <f>IF(A41="","",IF(OR(NOT(ISNUMBER('Control de lotes'!H41)),'Control de lotes'!K41=0),"falta dato",IF('Control de lotes'!H41&lt;=0,"falta dato",'Control de lotes'!K41/'Control de lotes'!H41)))</f>
      </c>
      <c r="H41" s="16">
        <f>IF(A41="","",IF(OR('Control de lotes'!J41=0,'Control de lotes'!K41=0),"falta dato",'Control de lotes'!K41/'Control de lotes'!J41))</f>
      </c>
      <c r="I41" s="16">
        <f>IF(A41="","",IF(OR(NOT(ISNUMBER(D41)),'Control de lotes'!K41=0),"falta dato",IF(D41&lt;=0,"falta dato",('Control de lotes'!K41-'Control de lotes'!L41)/D41)))</f>
      </c>
      <c r="J41" s="16">
        <f>IF(A41="","",'Control de lotes'!N41)</f>
      </c>
      <c r="K41" s="30">
        <f>IF(A41="","",IF(NOT(ISNUMBER('Control de lotes'!N41)),"falta dato",IF('Control de lotes'!M41&lt;=0,"falta dato",'Control de lotes'!N41/'Control de lotes'!M41)))</f>
      </c>
    </row>
    <row r="42" spans="1:11" x14ac:dyDescent="0.25">
      <c r="A42" s="29">
        <f>IF('Control de lotes'!A42="","",'Control de lotes'!A42)</f>
      </c>
      <c r="B42" s="30">
        <f>IF(A42="","",IF(OR('Control de lotes'!D42="",'Control de lotes'!D42=0),"falta dato",IF('Control de lotes'!E42="",0,'Control de lotes'!E42)/'Control de lotes'!D42))</f>
      </c>
      <c r="C42" s="31">
        <f>IF(A42="","",IF(OR(NOT(ISNUMBER('Control de lotes'!H42)),'Control de lotes'!J42=0),"falta dato",IF('Control de lotes'!H42&lt;=0,"falta dato",'Control de lotes'!J42/'Control de lotes'!H42)))</f>
      </c>
      <c r="D42" s="25">
        <f>IF(A42="","",IF(OR('Control de lotes'!J42=0,'Control de lotes'!D42="",'Control de lotes'!F42=""),"falta dato",'Control de lotes'!J42-'Control de lotes'!D42*'Control de lotes'!F42))</f>
      </c>
      <c r="E42" s="32">
        <f>IF(A42="","",IF(OR('Control de lotes'!G42="",NOT(ISNUMBER(D42))),"falta dato",IF(D42&lt;=0,"falta dato",'Control de lotes'!G42/D42)))</f>
      </c>
      <c r="F42" s="33">
        <f>IF(A42="","",IF(OR(NOT(ISNUMBER(C42)),'Control de lotes'!F42="",NOT(ISNUMBER('Control de lotes'!I42))),"falta dato",IF('Control de lotes'!I42&lt;=0,"falta dato",(C42-'Control de lotes'!F42)/'Control de lotes'!I42)))</f>
      </c>
      <c r="G42" s="16">
        <f>IF(A42="","",IF(OR(NOT(ISNUMBER('Control de lotes'!H42)),'Control de lotes'!K42=0),"falta dato",IF('Control de lotes'!H42&lt;=0,"falta dato",'Control de lotes'!K42/'Control de lotes'!H42)))</f>
      </c>
      <c r="H42" s="16">
        <f>IF(A42="","",IF(OR('Control de lotes'!J42=0,'Control de lotes'!K42=0),"falta dato",'Control de lotes'!K42/'Control de lotes'!J42))</f>
      </c>
      <c r="I42" s="16">
        <f>IF(A42="","",IF(OR(NOT(ISNUMBER(D42)),'Control de lotes'!K42=0),"falta dato",IF(D42&lt;=0,"falta dato",('Control de lotes'!K42-'Control de lotes'!L42)/D42)))</f>
      </c>
      <c r="J42" s="16">
        <f>IF(A42="","",'Control de lotes'!N42)</f>
      </c>
      <c r="K42" s="30">
        <f>IF(A42="","",IF(NOT(ISNUMBER('Control de lotes'!N42)),"falta dato",IF('Control de lotes'!M42&lt;=0,"falta dato",'Control de lotes'!N42/'Control de lotes'!M42)))</f>
      </c>
    </row>
    <row r="43" spans="1:11" x14ac:dyDescent="0.25">
      <c r="A43" s="29">
        <f>IF('Control de lotes'!A43="","",'Control de lotes'!A43)</f>
      </c>
      <c r="B43" s="30">
        <f>IF(A43="","",IF(OR('Control de lotes'!D43="",'Control de lotes'!D43=0),"falta dato",IF('Control de lotes'!E43="",0,'Control de lotes'!E43)/'Control de lotes'!D43))</f>
      </c>
      <c r="C43" s="31">
        <f>IF(A43="","",IF(OR(NOT(ISNUMBER('Control de lotes'!H43)),'Control de lotes'!J43=0),"falta dato",IF('Control de lotes'!H43&lt;=0,"falta dato",'Control de lotes'!J43/'Control de lotes'!H43)))</f>
      </c>
      <c r="D43" s="25">
        <f>IF(A43="","",IF(OR('Control de lotes'!J43=0,'Control de lotes'!D43="",'Control de lotes'!F43=""),"falta dato",'Control de lotes'!J43-'Control de lotes'!D43*'Control de lotes'!F43))</f>
      </c>
      <c r="E43" s="32">
        <f>IF(A43="","",IF(OR('Control de lotes'!G43="",NOT(ISNUMBER(D43))),"falta dato",IF(D43&lt;=0,"falta dato",'Control de lotes'!G43/D43)))</f>
      </c>
      <c r="F43" s="33">
        <f>IF(A43="","",IF(OR(NOT(ISNUMBER(C43)),'Control de lotes'!F43="",NOT(ISNUMBER('Control de lotes'!I43))),"falta dato",IF('Control de lotes'!I43&lt;=0,"falta dato",(C43-'Control de lotes'!F43)/'Control de lotes'!I43)))</f>
      </c>
      <c r="G43" s="16">
        <f>IF(A43="","",IF(OR(NOT(ISNUMBER('Control de lotes'!H43)),'Control de lotes'!K43=0),"falta dato",IF('Control de lotes'!H43&lt;=0,"falta dato",'Control de lotes'!K43/'Control de lotes'!H43)))</f>
      </c>
      <c r="H43" s="16">
        <f>IF(A43="","",IF(OR('Control de lotes'!J43=0,'Control de lotes'!K43=0),"falta dato",'Control de lotes'!K43/'Control de lotes'!J43))</f>
      </c>
      <c r="I43" s="16">
        <f>IF(A43="","",IF(OR(NOT(ISNUMBER(D43)),'Control de lotes'!K43=0),"falta dato",IF(D43&lt;=0,"falta dato",('Control de lotes'!K43-'Control de lotes'!L43)/D43)))</f>
      </c>
      <c r="J43" s="16">
        <f>IF(A43="","",'Control de lotes'!N43)</f>
      </c>
      <c r="K43" s="30">
        <f>IF(A43="","",IF(NOT(ISNUMBER('Control de lotes'!N43)),"falta dato",IF('Control de lotes'!M43&lt;=0,"falta dato",'Control de lotes'!N43/'Control de lotes'!M43)))</f>
      </c>
    </row>
    <row r="44" spans="1:11" x14ac:dyDescent="0.25">
      <c r="A44" s="29">
        <f>IF('Control de lotes'!A44="","",'Control de lotes'!A44)</f>
      </c>
      <c r="B44" s="30">
        <f>IF(A44="","",IF(OR('Control de lotes'!D44="",'Control de lotes'!D44=0),"falta dato",IF('Control de lotes'!E44="",0,'Control de lotes'!E44)/'Control de lotes'!D44))</f>
      </c>
      <c r="C44" s="31">
        <f>IF(A44="","",IF(OR(NOT(ISNUMBER('Control de lotes'!H44)),'Control de lotes'!J44=0),"falta dato",IF('Control de lotes'!H44&lt;=0,"falta dato",'Control de lotes'!J44/'Control de lotes'!H44)))</f>
      </c>
      <c r="D44" s="25">
        <f>IF(A44="","",IF(OR('Control de lotes'!J44=0,'Control de lotes'!D44="",'Control de lotes'!F44=""),"falta dato",'Control de lotes'!J44-'Control de lotes'!D44*'Control de lotes'!F44))</f>
      </c>
      <c r="E44" s="32">
        <f>IF(A44="","",IF(OR('Control de lotes'!G44="",NOT(ISNUMBER(D44))),"falta dato",IF(D44&lt;=0,"falta dato",'Control de lotes'!G44/D44)))</f>
      </c>
      <c r="F44" s="33">
        <f>IF(A44="","",IF(OR(NOT(ISNUMBER(C44)),'Control de lotes'!F44="",NOT(ISNUMBER('Control de lotes'!I44))),"falta dato",IF('Control de lotes'!I44&lt;=0,"falta dato",(C44-'Control de lotes'!F44)/'Control de lotes'!I44)))</f>
      </c>
      <c r="G44" s="16">
        <f>IF(A44="","",IF(OR(NOT(ISNUMBER('Control de lotes'!H44)),'Control de lotes'!K44=0),"falta dato",IF('Control de lotes'!H44&lt;=0,"falta dato",'Control de lotes'!K44/'Control de lotes'!H44)))</f>
      </c>
      <c r="H44" s="16">
        <f>IF(A44="","",IF(OR('Control de lotes'!J44=0,'Control de lotes'!K44=0),"falta dato",'Control de lotes'!K44/'Control de lotes'!J44))</f>
      </c>
      <c r="I44" s="16">
        <f>IF(A44="","",IF(OR(NOT(ISNUMBER(D44)),'Control de lotes'!K44=0),"falta dato",IF(D44&lt;=0,"falta dato",('Control de lotes'!K44-'Control de lotes'!L44)/D44)))</f>
      </c>
      <c r="J44" s="16">
        <f>IF(A44="","",'Control de lotes'!N44)</f>
      </c>
      <c r="K44" s="30">
        <f>IF(A44="","",IF(NOT(ISNUMBER('Control de lotes'!N44)),"falta dato",IF('Control de lotes'!M44&lt;=0,"falta dato",'Control de lotes'!N44/'Control de lotes'!M44)))</f>
      </c>
    </row>
    <row r="45" spans="1:11" x14ac:dyDescent="0.25">
      <c r="A45" s="29">
        <f>IF('Control de lotes'!A45="","",'Control de lotes'!A45)</f>
      </c>
      <c r="B45" s="30">
        <f>IF(A45="","",IF(OR('Control de lotes'!D45="",'Control de lotes'!D45=0),"falta dato",IF('Control de lotes'!E45="",0,'Control de lotes'!E45)/'Control de lotes'!D45))</f>
      </c>
      <c r="C45" s="31">
        <f>IF(A45="","",IF(OR(NOT(ISNUMBER('Control de lotes'!H45)),'Control de lotes'!J45=0),"falta dato",IF('Control de lotes'!H45&lt;=0,"falta dato",'Control de lotes'!J45/'Control de lotes'!H45)))</f>
      </c>
      <c r="D45" s="25">
        <f>IF(A45="","",IF(OR('Control de lotes'!J45=0,'Control de lotes'!D45="",'Control de lotes'!F45=""),"falta dato",'Control de lotes'!J45-'Control de lotes'!D45*'Control de lotes'!F45))</f>
      </c>
      <c r="E45" s="32">
        <f>IF(A45="","",IF(OR('Control de lotes'!G45="",NOT(ISNUMBER(D45))),"falta dato",IF(D45&lt;=0,"falta dato",'Control de lotes'!G45/D45)))</f>
      </c>
      <c r="F45" s="33">
        <f>IF(A45="","",IF(OR(NOT(ISNUMBER(C45)),'Control de lotes'!F45="",NOT(ISNUMBER('Control de lotes'!I45))),"falta dato",IF('Control de lotes'!I45&lt;=0,"falta dato",(C45-'Control de lotes'!F45)/'Control de lotes'!I45)))</f>
      </c>
      <c r="G45" s="16">
        <f>IF(A45="","",IF(OR(NOT(ISNUMBER('Control de lotes'!H45)),'Control de lotes'!K45=0),"falta dato",IF('Control de lotes'!H45&lt;=0,"falta dato",'Control de lotes'!K45/'Control de lotes'!H45)))</f>
      </c>
      <c r="H45" s="16">
        <f>IF(A45="","",IF(OR('Control de lotes'!J45=0,'Control de lotes'!K45=0),"falta dato",'Control de lotes'!K45/'Control de lotes'!J45))</f>
      </c>
      <c r="I45" s="16">
        <f>IF(A45="","",IF(OR(NOT(ISNUMBER(D45)),'Control de lotes'!K45=0),"falta dato",IF(D45&lt;=0,"falta dato",('Control de lotes'!K45-'Control de lotes'!L45)/D45)))</f>
      </c>
      <c r="J45" s="16">
        <f>IF(A45="","",'Control de lotes'!N45)</f>
      </c>
      <c r="K45" s="30">
        <f>IF(A45="","",IF(NOT(ISNUMBER('Control de lotes'!N45)),"falta dato",IF('Control de lotes'!M45&lt;=0,"falta dato",'Control de lotes'!N45/'Control de lotes'!M45)))</f>
      </c>
    </row>
    <row r="46" spans="1:11" x14ac:dyDescent="0.25">
      <c r="A46" s="29">
        <f>IF('Control de lotes'!A46="","",'Control de lotes'!A46)</f>
      </c>
      <c r="B46" s="30">
        <f>IF(A46="","",IF(OR('Control de lotes'!D46="",'Control de lotes'!D46=0),"falta dato",IF('Control de lotes'!E46="",0,'Control de lotes'!E46)/'Control de lotes'!D46))</f>
      </c>
      <c r="C46" s="31">
        <f>IF(A46="","",IF(OR(NOT(ISNUMBER('Control de lotes'!H46)),'Control de lotes'!J46=0),"falta dato",IF('Control de lotes'!H46&lt;=0,"falta dato",'Control de lotes'!J46/'Control de lotes'!H46)))</f>
      </c>
      <c r="D46" s="25">
        <f>IF(A46="","",IF(OR('Control de lotes'!J46=0,'Control de lotes'!D46="",'Control de lotes'!F46=""),"falta dato",'Control de lotes'!J46-'Control de lotes'!D46*'Control de lotes'!F46))</f>
      </c>
      <c r="E46" s="32">
        <f>IF(A46="","",IF(OR('Control de lotes'!G46="",NOT(ISNUMBER(D46))),"falta dato",IF(D46&lt;=0,"falta dato",'Control de lotes'!G46/D46)))</f>
      </c>
      <c r="F46" s="33">
        <f>IF(A46="","",IF(OR(NOT(ISNUMBER(C46)),'Control de lotes'!F46="",NOT(ISNUMBER('Control de lotes'!I46))),"falta dato",IF('Control de lotes'!I46&lt;=0,"falta dato",(C46-'Control de lotes'!F46)/'Control de lotes'!I46)))</f>
      </c>
      <c r="G46" s="16">
        <f>IF(A46="","",IF(OR(NOT(ISNUMBER('Control de lotes'!H46)),'Control de lotes'!K46=0),"falta dato",IF('Control de lotes'!H46&lt;=0,"falta dato",'Control de lotes'!K46/'Control de lotes'!H46)))</f>
      </c>
      <c r="H46" s="16">
        <f>IF(A46="","",IF(OR('Control de lotes'!J46=0,'Control de lotes'!K46=0),"falta dato",'Control de lotes'!K46/'Control de lotes'!J46))</f>
      </c>
      <c r="I46" s="16">
        <f>IF(A46="","",IF(OR(NOT(ISNUMBER(D46)),'Control de lotes'!K46=0),"falta dato",IF(D46&lt;=0,"falta dato",('Control de lotes'!K46-'Control de lotes'!L46)/D46)))</f>
      </c>
      <c r="J46" s="16">
        <f>IF(A46="","",'Control de lotes'!N46)</f>
      </c>
      <c r="K46" s="30">
        <f>IF(A46="","",IF(NOT(ISNUMBER('Control de lotes'!N46)),"falta dato",IF('Control de lotes'!M46&lt;=0,"falta dato",'Control de lotes'!N46/'Control de lotes'!M46)))</f>
      </c>
    </row>
    <row r="47" spans="1:11" x14ac:dyDescent="0.25">
      <c r="A47" s="29">
        <f>IF('Control de lotes'!A47="","",'Control de lotes'!A47)</f>
      </c>
      <c r="B47" s="30">
        <f>IF(A47="","",IF(OR('Control de lotes'!D47="",'Control de lotes'!D47=0),"falta dato",IF('Control de lotes'!E47="",0,'Control de lotes'!E47)/'Control de lotes'!D47))</f>
      </c>
      <c r="C47" s="31">
        <f>IF(A47="","",IF(OR(NOT(ISNUMBER('Control de lotes'!H47)),'Control de lotes'!J47=0),"falta dato",IF('Control de lotes'!H47&lt;=0,"falta dato",'Control de lotes'!J47/'Control de lotes'!H47)))</f>
      </c>
      <c r="D47" s="25">
        <f>IF(A47="","",IF(OR('Control de lotes'!J47=0,'Control de lotes'!D47="",'Control de lotes'!F47=""),"falta dato",'Control de lotes'!J47-'Control de lotes'!D47*'Control de lotes'!F47))</f>
      </c>
      <c r="E47" s="32">
        <f>IF(A47="","",IF(OR('Control de lotes'!G47="",NOT(ISNUMBER(D47))),"falta dato",IF(D47&lt;=0,"falta dato",'Control de lotes'!G47/D47)))</f>
      </c>
      <c r="F47" s="33">
        <f>IF(A47="","",IF(OR(NOT(ISNUMBER(C47)),'Control de lotes'!F47="",NOT(ISNUMBER('Control de lotes'!I47))),"falta dato",IF('Control de lotes'!I47&lt;=0,"falta dato",(C47-'Control de lotes'!F47)/'Control de lotes'!I47)))</f>
      </c>
      <c r="G47" s="16">
        <f>IF(A47="","",IF(OR(NOT(ISNUMBER('Control de lotes'!H47)),'Control de lotes'!K47=0),"falta dato",IF('Control de lotes'!H47&lt;=0,"falta dato",'Control de lotes'!K47/'Control de lotes'!H47)))</f>
      </c>
      <c r="H47" s="16">
        <f>IF(A47="","",IF(OR('Control de lotes'!J47=0,'Control de lotes'!K47=0),"falta dato",'Control de lotes'!K47/'Control de lotes'!J47))</f>
      </c>
      <c r="I47" s="16">
        <f>IF(A47="","",IF(OR(NOT(ISNUMBER(D47)),'Control de lotes'!K47=0),"falta dato",IF(D47&lt;=0,"falta dato",('Control de lotes'!K47-'Control de lotes'!L47)/D47)))</f>
      </c>
      <c r="J47" s="16">
        <f>IF(A47="","",'Control de lotes'!N47)</f>
      </c>
      <c r="K47" s="30">
        <f>IF(A47="","",IF(NOT(ISNUMBER('Control de lotes'!N47)),"falta dato",IF('Control de lotes'!M47&lt;=0,"falta dato",'Control de lotes'!N47/'Control de lotes'!M47)))</f>
      </c>
    </row>
    <row r="48" spans="1:11" x14ac:dyDescent="0.25">
      <c r="A48" s="29">
        <f>IF('Control de lotes'!A48="","",'Control de lotes'!A48)</f>
      </c>
      <c r="B48" s="30">
        <f>IF(A48="","",IF(OR('Control de lotes'!D48="",'Control de lotes'!D48=0),"falta dato",IF('Control de lotes'!E48="",0,'Control de lotes'!E48)/'Control de lotes'!D48))</f>
      </c>
      <c r="C48" s="31">
        <f>IF(A48="","",IF(OR(NOT(ISNUMBER('Control de lotes'!H48)),'Control de lotes'!J48=0),"falta dato",IF('Control de lotes'!H48&lt;=0,"falta dato",'Control de lotes'!J48/'Control de lotes'!H48)))</f>
      </c>
      <c r="D48" s="25">
        <f>IF(A48="","",IF(OR('Control de lotes'!J48=0,'Control de lotes'!D48="",'Control de lotes'!F48=""),"falta dato",'Control de lotes'!J48-'Control de lotes'!D48*'Control de lotes'!F48))</f>
      </c>
      <c r="E48" s="32">
        <f>IF(A48="","",IF(OR('Control de lotes'!G48="",NOT(ISNUMBER(D48))),"falta dato",IF(D48&lt;=0,"falta dato",'Control de lotes'!G48/D48)))</f>
      </c>
      <c r="F48" s="33">
        <f>IF(A48="","",IF(OR(NOT(ISNUMBER(C48)),'Control de lotes'!F48="",NOT(ISNUMBER('Control de lotes'!I48))),"falta dato",IF('Control de lotes'!I48&lt;=0,"falta dato",(C48-'Control de lotes'!F48)/'Control de lotes'!I48)))</f>
      </c>
      <c r="G48" s="16">
        <f>IF(A48="","",IF(OR(NOT(ISNUMBER('Control de lotes'!H48)),'Control de lotes'!K48=0),"falta dato",IF('Control de lotes'!H48&lt;=0,"falta dato",'Control de lotes'!K48/'Control de lotes'!H48)))</f>
      </c>
      <c r="H48" s="16">
        <f>IF(A48="","",IF(OR('Control de lotes'!J48=0,'Control de lotes'!K48=0),"falta dato",'Control de lotes'!K48/'Control de lotes'!J48))</f>
      </c>
      <c r="I48" s="16">
        <f>IF(A48="","",IF(OR(NOT(ISNUMBER(D48)),'Control de lotes'!K48=0),"falta dato",IF(D48&lt;=0,"falta dato",('Control de lotes'!K48-'Control de lotes'!L48)/D48)))</f>
      </c>
      <c r="J48" s="16">
        <f>IF(A48="","",'Control de lotes'!N48)</f>
      </c>
      <c r="K48" s="30">
        <f>IF(A48="","",IF(NOT(ISNUMBER('Control de lotes'!N48)),"falta dato",IF('Control de lotes'!M48&lt;=0,"falta dato",'Control de lotes'!N48/'Control de lotes'!M48)))</f>
      </c>
    </row>
    <row r="49" spans="1:11" x14ac:dyDescent="0.25">
      <c r="A49" s="29">
        <f>IF('Control de lotes'!A49="","",'Control de lotes'!A49)</f>
      </c>
      <c r="B49" s="30">
        <f>IF(A49="","",IF(OR('Control de lotes'!D49="",'Control de lotes'!D49=0),"falta dato",IF('Control de lotes'!E49="",0,'Control de lotes'!E49)/'Control de lotes'!D49))</f>
      </c>
      <c r="C49" s="31">
        <f>IF(A49="","",IF(OR(NOT(ISNUMBER('Control de lotes'!H49)),'Control de lotes'!J49=0),"falta dato",IF('Control de lotes'!H49&lt;=0,"falta dato",'Control de lotes'!J49/'Control de lotes'!H49)))</f>
      </c>
      <c r="D49" s="25">
        <f>IF(A49="","",IF(OR('Control de lotes'!J49=0,'Control de lotes'!D49="",'Control de lotes'!F49=""),"falta dato",'Control de lotes'!J49-'Control de lotes'!D49*'Control de lotes'!F49))</f>
      </c>
      <c r="E49" s="32">
        <f>IF(A49="","",IF(OR('Control de lotes'!G49="",NOT(ISNUMBER(D49))),"falta dato",IF(D49&lt;=0,"falta dato",'Control de lotes'!G49/D49)))</f>
      </c>
      <c r="F49" s="33">
        <f>IF(A49="","",IF(OR(NOT(ISNUMBER(C49)),'Control de lotes'!F49="",NOT(ISNUMBER('Control de lotes'!I49))),"falta dato",IF('Control de lotes'!I49&lt;=0,"falta dato",(C49-'Control de lotes'!F49)/'Control de lotes'!I49)))</f>
      </c>
      <c r="G49" s="16">
        <f>IF(A49="","",IF(OR(NOT(ISNUMBER('Control de lotes'!H49)),'Control de lotes'!K49=0),"falta dato",IF('Control de lotes'!H49&lt;=0,"falta dato",'Control de lotes'!K49/'Control de lotes'!H49)))</f>
      </c>
      <c r="H49" s="16">
        <f>IF(A49="","",IF(OR('Control de lotes'!J49=0,'Control de lotes'!K49=0),"falta dato",'Control de lotes'!K49/'Control de lotes'!J49))</f>
      </c>
      <c r="I49" s="16">
        <f>IF(A49="","",IF(OR(NOT(ISNUMBER(D49)),'Control de lotes'!K49=0),"falta dato",IF(D49&lt;=0,"falta dato",('Control de lotes'!K49-'Control de lotes'!L49)/D49)))</f>
      </c>
      <c r="J49" s="16">
        <f>IF(A49="","",'Control de lotes'!N49)</f>
      </c>
      <c r="K49" s="30">
        <f>IF(A49="","",IF(NOT(ISNUMBER('Control de lotes'!N49)),"falta dato",IF('Control de lotes'!M49&lt;=0,"falta dato",'Control de lotes'!N49/'Control de lotes'!M49)))</f>
      </c>
    </row>
    <row r="50" spans="1:11" x14ac:dyDescent="0.25">
      <c r="A50" s="29">
        <f>IF('Control de lotes'!A50="","",'Control de lotes'!A50)</f>
      </c>
      <c r="B50" s="30">
        <f>IF(A50="","",IF(OR('Control de lotes'!D50="",'Control de lotes'!D50=0),"falta dato",IF('Control de lotes'!E50="",0,'Control de lotes'!E50)/'Control de lotes'!D50))</f>
      </c>
      <c r="C50" s="31">
        <f>IF(A50="","",IF(OR(NOT(ISNUMBER('Control de lotes'!H50)),'Control de lotes'!J50=0),"falta dato",IF('Control de lotes'!H50&lt;=0,"falta dato",'Control de lotes'!J50/'Control de lotes'!H50)))</f>
      </c>
      <c r="D50" s="25">
        <f>IF(A50="","",IF(OR('Control de lotes'!J50=0,'Control de lotes'!D50="",'Control de lotes'!F50=""),"falta dato",'Control de lotes'!J50-'Control de lotes'!D50*'Control de lotes'!F50))</f>
      </c>
      <c r="E50" s="32">
        <f>IF(A50="","",IF(OR('Control de lotes'!G50="",NOT(ISNUMBER(D50))),"falta dato",IF(D50&lt;=0,"falta dato",'Control de lotes'!G50/D50)))</f>
      </c>
      <c r="F50" s="33">
        <f>IF(A50="","",IF(OR(NOT(ISNUMBER(C50)),'Control de lotes'!F50="",NOT(ISNUMBER('Control de lotes'!I50))),"falta dato",IF('Control de lotes'!I50&lt;=0,"falta dato",(C50-'Control de lotes'!F50)/'Control de lotes'!I50)))</f>
      </c>
      <c r="G50" s="16">
        <f>IF(A50="","",IF(OR(NOT(ISNUMBER('Control de lotes'!H50)),'Control de lotes'!K50=0),"falta dato",IF('Control de lotes'!H50&lt;=0,"falta dato",'Control de lotes'!K50/'Control de lotes'!H50)))</f>
      </c>
      <c r="H50" s="16">
        <f>IF(A50="","",IF(OR('Control de lotes'!J50=0,'Control de lotes'!K50=0),"falta dato",'Control de lotes'!K50/'Control de lotes'!J50))</f>
      </c>
      <c r="I50" s="16">
        <f>IF(A50="","",IF(OR(NOT(ISNUMBER(D50)),'Control de lotes'!K50=0),"falta dato",IF(D50&lt;=0,"falta dato",('Control de lotes'!K50-'Control de lotes'!L50)/D50)))</f>
      </c>
      <c r="J50" s="16">
        <f>IF(A50="","",'Control de lotes'!N50)</f>
      </c>
      <c r="K50" s="30">
        <f>IF(A50="","",IF(NOT(ISNUMBER('Control de lotes'!N50)),"falta dato",IF('Control de lotes'!M50&lt;=0,"falta dato",'Control de lotes'!N50/'Control de lotes'!M50)))</f>
      </c>
    </row>
    <row r="51" spans="1:11" x14ac:dyDescent="0.25">
      <c r="A51" s="29">
        <f>IF('Control de lotes'!A51="","",'Control de lotes'!A51)</f>
      </c>
      <c r="B51" s="30">
        <f>IF(A51="","",IF(OR('Control de lotes'!D51="",'Control de lotes'!D51=0),"falta dato",IF('Control de lotes'!E51="",0,'Control de lotes'!E51)/'Control de lotes'!D51))</f>
      </c>
      <c r="C51" s="31">
        <f>IF(A51="","",IF(OR(NOT(ISNUMBER('Control de lotes'!H51)),'Control de lotes'!J51=0),"falta dato",IF('Control de lotes'!H51&lt;=0,"falta dato",'Control de lotes'!J51/'Control de lotes'!H51)))</f>
      </c>
      <c r="D51" s="25">
        <f>IF(A51="","",IF(OR('Control de lotes'!J51=0,'Control de lotes'!D51="",'Control de lotes'!F51=""),"falta dato",'Control de lotes'!J51-'Control de lotes'!D51*'Control de lotes'!F51))</f>
      </c>
      <c r="E51" s="32">
        <f>IF(A51="","",IF(OR('Control de lotes'!G51="",NOT(ISNUMBER(D51))),"falta dato",IF(D51&lt;=0,"falta dato",'Control de lotes'!G51/D51)))</f>
      </c>
      <c r="F51" s="33">
        <f>IF(A51="","",IF(OR(NOT(ISNUMBER(C51)),'Control de lotes'!F51="",NOT(ISNUMBER('Control de lotes'!I51))),"falta dato",IF('Control de lotes'!I51&lt;=0,"falta dato",(C51-'Control de lotes'!F51)/'Control de lotes'!I51)))</f>
      </c>
      <c r="G51" s="16">
        <f>IF(A51="","",IF(OR(NOT(ISNUMBER('Control de lotes'!H51)),'Control de lotes'!K51=0),"falta dato",IF('Control de lotes'!H51&lt;=0,"falta dato",'Control de lotes'!K51/'Control de lotes'!H51)))</f>
      </c>
      <c r="H51" s="16">
        <f>IF(A51="","",IF(OR('Control de lotes'!J51=0,'Control de lotes'!K51=0),"falta dato",'Control de lotes'!K51/'Control de lotes'!J51))</f>
      </c>
      <c r="I51" s="16">
        <f>IF(A51="","",IF(OR(NOT(ISNUMBER(D51)),'Control de lotes'!K51=0),"falta dato",IF(D51&lt;=0,"falta dato",('Control de lotes'!K51-'Control de lotes'!L51)/D51)))</f>
      </c>
      <c r="J51" s="16">
        <f>IF(A51="","",'Control de lotes'!N51)</f>
      </c>
      <c r="K51" s="30">
        <f>IF(A51="","",IF(NOT(ISNUMBER('Control de lotes'!N51)),"falta dato",IF('Control de lotes'!M51&lt;=0,"falta dato",'Control de lotes'!N51/'Control de lotes'!M51)))</f>
      </c>
    </row>
    <row r="52" spans="1:11" x14ac:dyDescent="0.25">
      <c r="A52" s="29">
        <f>IF('Control de lotes'!A52="","",'Control de lotes'!A52)</f>
      </c>
      <c r="B52" s="30">
        <f>IF(A52="","",IF(OR('Control de lotes'!D52="",'Control de lotes'!D52=0),"falta dato",IF('Control de lotes'!E52="",0,'Control de lotes'!E52)/'Control de lotes'!D52))</f>
      </c>
      <c r="C52" s="31">
        <f>IF(A52="","",IF(OR(NOT(ISNUMBER('Control de lotes'!H52)),'Control de lotes'!J52=0),"falta dato",IF('Control de lotes'!H52&lt;=0,"falta dato",'Control de lotes'!J52/'Control de lotes'!H52)))</f>
      </c>
      <c r="D52" s="25">
        <f>IF(A52="","",IF(OR('Control de lotes'!J52=0,'Control de lotes'!D52="",'Control de lotes'!F52=""),"falta dato",'Control de lotes'!J52-'Control de lotes'!D52*'Control de lotes'!F52))</f>
      </c>
      <c r="E52" s="32">
        <f>IF(A52="","",IF(OR('Control de lotes'!G52="",NOT(ISNUMBER(D52))),"falta dato",IF(D52&lt;=0,"falta dato",'Control de lotes'!G52/D52)))</f>
      </c>
      <c r="F52" s="33">
        <f>IF(A52="","",IF(OR(NOT(ISNUMBER(C52)),'Control de lotes'!F52="",NOT(ISNUMBER('Control de lotes'!I52))),"falta dato",IF('Control de lotes'!I52&lt;=0,"falta dato",(C52-'Control de lotes'!F52)/'Control de lotes'!I52)))</f>
      </c>
      <c r="G52" s="16">
        <f>IF(A52="","",IF(OR(NOT(ISNUMBER('Control de lotes'!H52)),'Control de lotes'!K52=0),"falta dato",IF('Control de lotes'!H52&lt;=0,"falta dato",'Control de lotes'!K52/'Control de lotes'!H52)))</f>
      </c>
      <c r="H52" s="16">
        <f>IF(A52="","",IF(OR('Control de lotes'!J52=0,'Control de lotes'!K52=0),"falta dato",'Control de lotes'!K52/'Control de lotes'!J52))</f>
      </c>
      <c r="I52" s="16">
        <f>IF(A52="","",IF(OR(NOT(ISNUMBER(D52)),'Control de lotes'!K52=0),"falta dato",IF(D52&lt;=0,"falta dato",('Control de lotes'!K52-'Control de lotes'!L52)/D52)))</f>
      </c>
      <c r="J52" s="16">
        <f>IF(A52="","",'Control de lotes'!N52)</f>
      </c>
      <c r="K52" s="30">
        <f>IF(A52="","",IF(NOT(ISNUMBER('Control de lotes'!N52)),"falta dato",IF('Control de lotes'!M52&lt;=0,"falta dato",'Control de lotes'!N52/'Control de lotes'!M52)))</f>
      </c>
    </row>
    <row r="53" spans="1:11" x14ac:dyDescent="0.25">
      <c r="A53" s="29">
        <f>IF('Control de lotes'!A53="","",'Control de lotes'!A53)</f>
      </c>
      <c r="B53" s="30">
        <f>IF(A53="","",IF(OR('Control de lotes'!D53="",'Control de lotes'!D53=0),"falta dato",IF('Control de lotes'!E53="",0,'Control de lotes'!E53)/'Control de lotes'!D53))</f>
      </c>
      <c r="C53" s="31">
        <f>IF(A53="","",IF(OR(NOT(ISNUMBER('Control de lotes'!H53)),'Control de lotes'!J53=0),"falta dato",IF('Control de lotes'!H53&lt;=0,"falta dato",'Control de lotes'!J53/'Control de lotes'!H53)))</f>
      </c>
      <c r="D53" s="25">
        <f>IF(A53="","",IF(OR('Control de lotes'!J53=0,'Control de lotes'!D53="",'Control de lotes'!F53=""),"falta dato",'Control de lotes'!J53-'Control de lotes'!D53*'Control de lotes'!F53))</f>
      </c>
      <c r="E53" s="32">
        <f>IF(A53="","",IF(OR('Control de lotes'!G53="",NOT(ISNUMBER(D53))),"falta dato",IF(D53&lt;=0,"falta dato",'Control de lotes'!G53/D53)))</f>
      </c>
      <c r="F53" s="33">
        <f>IF(A53="","",IF(OR(NOT(ISNUMBER(C53)),'Control de lotes'!F53="",NOT(ISNUMBER('Control de lotes'!I53))),"falta dato",IF('Control de lotes'!I53&lt;=0,"falta dato",(C53-'Control de lotes'!F53)/'Control de lotes'!I53)))</f>
      </c>
      <c r="G53" s="16">
        <f>IF(A53="","",IF(OR(NOT(ISNUMBER('Control de lotes'!H53)),'Control de lotes'!K53=0),"falta dato",IF('Control de lotes'!H53&lt;=0,"falta dato",'Control de lotes'!K53/'Control de lotes'!H53)))</f>
      </c>
      <c r="H53" s="16">
        <f>IF(A53="","",IF(OR('Control de lotes'!J53=0,'Control de lotes'!K53=0),"falta dato",'Control de lotes'!K53/'Control de lotes'!J53))</f>
      </c>
      <c r="I53" s="16">
        <f>IF(A53="","",IF(OR(NOT(ISNUMBER(D53)),'Control de lotes'!K53=0),"falta dato",IF(D53&lt;=0,"falta dato",('Control de lotes'!K53-'Control de lotes'!L53)/D53)))</f>
      </c>
      <c r="J53" s="16">
        <f>IF(A53="","",'Control de lotes'!N53)</f>
      </c>
      <c r="K53" s="30">
        <f>IF(A53="","",IF(NOT(ISNUMBER('Control de lotes'!N53)),"falta dato",IF('Control de lotes'!M53&lt;=0,"falta dato",'Control de lotes'!N53/'Control de lotes'!M53)))</f>
      </c>
    </row>
    <row r="54" spans="1:11" x14ac:dyDescent="0.25">
      <c r="A54" s="29">
        <f>IF('Control de lotes'!A54="","",'Control de lotes'!A54)</f>
      </c>
      <c r="B54" s="30">
        <f>IF(A54="","",IF(OR('Control de lotes'!D54="",'Control de lotes'!D54=0),"falta dato",IF('Control de lotes'!E54="",0,'Control de lotes'!E54)/'Control de lotes'!D54))</f>
      </c>
      <c r="C54" s="31">
        <f>IF(A54="","",IF(OR(NOT(ISNUMBER('Control de lotes'!H54)),'Control de lotes'!J54=0),"falta dato",IF('Control de lotes'!H54&lt;=0,"falta dato",'Control de lotes'!J54/'Control de lotes'!H54)))</f>
      </c>
      <c r="D54" s="25">
        <f>IF(A54="","",IF(OR('Control de lotes'!J54=0,'Control de lotes'!D54="",'Control de lotes'!F54=""),"falta dato",'Control de lotes'!J54-'Control de lotes'!D54*'Control de lotes'!F54))</f>
      </c>
      <c r="E54" s="32">
        <f>IF(A54="","",IF(OR('Control de lotes'!G54="",NOT(ISNUMBER(D54))),"falta dato",IF(D54&lt;=0,"falta dato",'Control de lotes'!G54/D54)))</f>
      </c>
      <c r="F54" s="33">
        <f>IF(A54="","",IF(OR(NOT(ISNUMBER(C54)),'Control de lotes'!F54="",NOT(ISNUMBER('Control de lotes'!I54))),"falta dato",IF('Control de lotes'!I54&lt;=0,"falta dato",(C54-'Control de lotes'!F54)/'Control de lotes'!I54)))</f>
      </c>
      <c r="G54" s="16">
        <f>IF(A54="","",IF(OR(NOT(ISNUMBER('Control de lotes'!H54)),'Control de lotes'!K54=0),"falta dato",IF('Control de lotes'!H54&lt;=0,"falta dato",'Control de lotes'!K54/'Control de lotes'!H54)))</f>
      </c>
      <c r="H54" s="16">
        <f>IF(A54="","",IF(OR('Control de lotes'!J54=0,'Control de lotes'!K54=0),"falta dato",'Control de lotes'!K54/'Control de lotes'!J54))</f>
      </c>
      <c r="I54" s="16">
        <f>IF(A54="","",IF(OR(NOT(ISNUMBER(D54)),'Control de lotes'!K54=0),"falta dato",IF(D54&lt;=0,"falta dato",('Control de lotes'!K54-'Control de lotes'!L54)/D54)))</f>
      </c>
      <c r="J54" s="16">
        <f>IF(A54="","",'Control de lotes'!N54)</f>
      </c>
      <c r="K54" s="30">
        <f>IF(A54="","",IF(NOT(ISNUMBER('Control de lotes'!N54)),"falta dato",IF('Control de lotes'!M54&lt;=0,"falta dato",'Control de lotes'!N54/'Control de lotes'!M54)))</f>
      </c>
    </row>
  </sheetData>
  <sheetProtection sheet="1" formatColumns="0" formatRows="0" autoFilter="0"/>
  <mergeCells count="1">
    <mergeCell ref="N14:O15"/>
  </mergeCells>
  <conditionalFormatting sqref="B5:K54">
    <cfRule type="containsText" dxfId="3" priority="1">
      <formula>NOT(ISERROR(SEARCH("falta",B5)))</formula>
    </cfRule>
  </conditionalFormatting>
  <conditionalFormatting sqref="O8:O12">
    <cfRule type="containsText" dxfId="4" priority="2">
      <formula>NOT(ISERROR(SEARCH("falta",O8)))</formula>
    </cfRule>
  </conditionalFormatting>
  <dataValidations count="1">
    <dataValidation type="decimal" operator="greaterThanOrEqual" allowBlank="1" showErrorMessage="1" errorTitle="Número" error="No puede ser negativo." sqref="O5:O7">
      <formula1>0</formula1>
    </dataValidation>
  </dataValidations>
  <pageSetup paperSize="1"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B5F9E"/>
    <pageSetUpPr fitToPage="1"/>
  </sheetPr>
  <dimension ref="B1:I80"/>
  <sheetViews>
    <sheetView workbookViewId="0">
      <pane ySplit="2" topLeftCell="A3" activePane="bottomLeft" state="frozen"/>
      <selection pane="bottomLeft"/>
    </sheetView>
  </sheetViews>
  <sheetFormatPr defaultRowHeight="15" outlineLevelRow="0" outlineLevelCol="0" x14ac:dyDescent="55"/>
  <cols>
    <col min="1" max="1" width="3" customWidth="1"/>
    <col min="2" max="2" width="40" customWidth="1"/>
    <col min="3" max="3" width="20" customWidth="1"/>
    <col min="4" max="4" width="14" customWidth="1"/>
    <col min="5" max="9" width="16" customWidth="1"/>
  </cols>
  <sheetData>
    <row r="1" spans="2:2" x14ac:dyDescent="0.25">
      <c r="B1" s="39" t="s">
        <v>130</v>
      </c>
    </row>
    <row r="2" spans="2:2" x14ac:dyDescent="0.25">
      <c r="B2" s="40" t="s">
        <v>131</v>
      </c>
    </row>
    <row r="4" spans="2:4" x14ac:dyDescent="0.25">
      <c r="B4" s="27" t="s">
        <v>132</v>
      </c>
      <c r="C4" s="27"/>
      <c r="D4" s="27"/>
    </row>
    <row r="5" spans="2:3" x14ac:dyDescent="0.25">
      <c r="B5" s="34" t="s">
        <v>133</v>
      </c>
      <c r="C5" s="16">
        <f>SUM('Registro de ingresos'!$I$5:$I$505)</f>
      </c>
    </row>
    <row r="6" spans="2:3" x14ac:dyDescent="0.25">
      <c r="B6" s="34" t="s">
        <v>134</v>
      </c>
      <c r="C6" s="16">
        <f>SUM('Registro de gastos'!$H$5:$H$505)</f>
      </c>
    </row>
    <row r="7" spans="2:3" x14ac:dyDescent="0.25">
      <c r="B7" s="37" t="s">
        <v>36</v>
      </c>
      <c r="C7" s="16">
        <f>C5-C6</f>
      </c>
    </row>
    <row r="8" spans="2:3" x14ac:dyDescent="0.25">
      <c r="B8" s="37" t="s">
        <v>50</v>
      </c>
      <c r="C8" s="30">
        <f>IF(C5&lt;=0,"sin ventas todavía",C7/C5)</f>
      </c>
    </row>
    <row r="9" spans="2:3" x14ac:dyDescent="0.25">
      <c r="B9" s="34" t="s">
        <v>91</v>
      </c>
      <c r="C9" s="24">
        <f>SUM('Registro de ingresos'!$D$5:$D$505)</f>
      </c>
    </row>
    <row r="10" spans="2:3" x14ac:dyDescent="0.25">
      <c r="B10" s="34" t="s">
        <v>135</v>
      </c>
      <c r="C10" s="25">
        <f>SUM('Registro de ingresos'!$E$5:$E$505)</f>
      </c>
    </row>
    <row r="11" spans="2:3" x14ac:dyDescent="0.25">
      <c r="B11" s="34" t="s">
        <v>136</v>
      </c>
      <c r="C11" s="16">
        <f>IF(C10&lt;=0,"falta dato",C6/C10)</f>
      </c>
    </row>
    <row r="13" spans="2:4" x14ac:dyDescent="0.25">
      <c r="B13" s="27" t="s">
        <v>137</v>
      </c>
      <c r="C13" s="27" t="s">
        <v>138</v>
      </c>
      <c r="D13" s="27" t="s">
        <v>139</v>
      </c>
    </row>
    <row r="14" spans="2:4" x14ac:dyDescent="0.25">
      <c r="B14" s="41" t="s">
        <v>72</v>
      </c>
      <c r="C14" s="16">
        <f>SUMIF('Registro de gastos'!$C$5:$C$505,B14,'Registro de gastos'!$H$5:$H$505)</f>
      </c>
      <c r="D14" s="30">
        <f>IF($C$6&lt;=0,"",C14/$C$6)</f>
      </c>
    </row>
    <row r="15" spans="2:4" x14ac:dyDescent="0.25">
      <c r="B15" s="41" t="s">
        <v>68</v>
      </c>
      <c r="C15" s="16">
        <f>SUMIF('Registro de gastos'!$C$5:$C$505,B15,'Registro de gastos'!$H$5:$H$505)</f>
      </c>
      <c r="D15" s="30">
        <f>IF($C$6&lt;=0,"",C15/$C$6)</f>
      </c>
    </row>
    <row r="16" spans="2:4" x14ac:dyDescent="0.25">
      <c r="B16" s="41" t="s">
        <v>75</v>
      </c>
      <c r="C16" s="16">
        <f>SUMIF('Registro de gastos'!$C$5:$C$505,B16,'Registro de gastos'!$H$5:$H$505)</f>
      </c>
      <c r="D16" s="30">
        <f>IF($C$6&lt;=0,"",C16/$C$6)</f>
      </c>
    </row>
    <row r="17" spans="2:4" x14ac:dyDescent="0.25">
      <c r="B17" s="41" t="s">
        <v>78</v>
      </c>
      <c r="C17" s="16">
        <f>SUMIF('Registro de gastos'!$C$5:$C$505,B17,'Registro de gastos'!$H$5:$H$505)</f>
      </c>
      <c r="D17" s="30">
        <f>IF($C$6&lt;=0,"",C17/$C$6)</f>
      </c>
    </row>
    <row r="18" spans="2:4" x14ac:dyDescent="0.25">
      <c r="B18" s="41" t="s">
        <v>81</v>
      </c>
      <c r="C18" s="16">
        <f>SUMIF('Registro de gastos'!$C$5:$C$505,B18,'Registro de gastos'!$H$5:$H$505)</f>
      </c>
      <c r="D18" s="30">
        <f>IF($C$6&lt;=0,"",C18/$C$6)</f>
      </c>
    </row>
    <row r="19" spans="2:4" x14ac:dyDescent="0.25">
      <c r="B19" s="41" t="s">
        <v>140</v>
      </c>
      <c r="C19" s="16">
        <f>SUMIF('Registro de gastos'!$C$5:$C$505,B19,'Registro de gastos'!$H$5:$H$505)</f>
      </c>
      <c r="D19" s="30">
        <f>IF($C$6&lt;=0,"",C19/$C$6)</f>
      </c>
    </row>
    <row r="20" spans="2:4" x14ac:dyDescent="0.25">
      <c r="B20" s="41" t="s">
        <v>141</v>
      </c>
      <c r="C20" s="16">
        <f>SUMIF('Registro de gastos'!$C$5:$C$505,B20,'Registro de gastos'!$H$5:$H$505)</f>
      </c>
      <c r="D20" s="30">
        <f>IF($C$6&lt;=0,"",C20/$C$6)</f>
      </c>
    </row>
    <row r="21" spans="2:4" x14ac:dyDescent="0.25">
      <c r="B21" s="41" t="s">
        <v>142</v>
      </c>
      <c r="C21" s="16">
        <f>SUMIF('Registro de gastos'!$C$5:$C$505,B21,'Registro de gastos'!$H$5:$H$505)</f>
      </c>
      <c r="D21" s="30">
        <f>IF($C$6&lt;=0,"",C21/$C$6)</f>
      </c>
    </row>
    <row r="22" spans="2:4" x14ac:dyDescent="0.25">
      <c r="B22" s="41" t="s">
        <v>83</v>
      </c>
      <c r="C22" s="16">
        <f>SUMIF('Registro de gastos'!$C$5:$C$505,B22,'Registro de gastos'!$H$5:$H$505)</f>
      </c>
      <c r="D22" s="30">
        <f>IF($C$6&lt;=0,"",C22/$C$6)</f>
      </c>
    </row>
    <row r="24" spans="2:4" x14ac:dyDescent="0.25">
      <c r="B24" s="27" t="s">
        <v>143</v>
      </c>
      <c r="C24" s="27"/>
      <c r="D24" s="27"/>
    </row>
    <row r="25" spans="2:4" x14ac:dyDescent="0.25">
      <c r="B25" s="41" t="s">
        <v>144</v>
      </c>
      <c r="C25" s="16">
        <f>SUMIF('Registro de gastos'!$I$5:$I$505,"Fijo",'Registro de gastos'!$H$5:$H$505)</f>
      </c>
      <c r="D25" s="30">
        <f>IF($C$6&lt;=0,"",C25/$C$6)</f>
      </c>
    </row>
    <row r="26" spans="2:4" x14ac:dyDescent="0.25">
      <c r="B26" s="41" t="s">
        <v>145</v>
      </c>
      <c r="C26" s="16">
        <f>SUMIF('Registro de gastos'!$I$5:$I$505,"Variable",'Registro de gastos'!$H$5:$H$505)</f>
      </c>
      <c r="D26" s="30">
        <f>IF($C$6&lt;=0,"",C26/$C$6)</f>
      </c>
    </row>
    <row r="27" spans="2:4" x14ac:dyDescent="0.25">
      <c r="B27" s="41" t="s">
        <v>146</v>
      </c>
      <c r="C27" s="16">
        <f>C6-C25-C26</f>
      </c>
      <c r="D27" s="30">
        <f>IF($C$6&lt;=0,"",C27/$C$6)</f>
      </c>
    </row>
    <row r="29" spans="2:9" x14ac:dyDescent="0.25">
      <c r="B29" s="27" t="s">
        <v>147</v>
      </c>
      <c r="C29" s="27"/>
      <c r="D29" s="27"/>
      <c r="E29" s="27"/>
      <c r="F29" s="27"/>
      <c r="G29" s="27"/>
      <c r="H29" s="27"/>
      <c r="I29" s="27"/>
    </row>
    <row r="30" spans="2:9" x14ac:dyDescent="0.25">
      <c r="B30" s="42" t="s">
        <v>59</v>
      </c>
      <c r="C30" s="42" t="s">
        <v>111</v>
      </c>
      <c r="D30" s="42" t="s">
        <v>50</v>
      </c>
      <c r="E30" s="42" t="s">
        <v>40</v>
      </c>
      <c r="F30" s="42" t="s">
        <v>148</v>
      </c>
      <c r="G30" s="42" t="s">
        <v>48</v>
      </c>
      <c r="H30" s="42" t="s">
        <v>38</v>
      </c>
      <c r="I30" s="42" t="s">
        <v>46</v>
      </c>
    </row>
    <row r="31" spans="2:9" x14ac:dyDescent="0.25">
      <c r="B31" s="29">
        <f>IF(Indicadores!$A$5="","",Indicadores!A5)</f>
      </c>
      <c r="C31" s="16">
        <f>IF(Indicadores!$A$5="","",Indicadores!J5)</f>
      </c>
      <c r="D31" s="30">
        <f>IF(Indicadores!$A$5="","",Indicadores!K5)</f>
      </c>
      <c r="E31" s="16">
        <f>IF(Indicadores!$A$5="","",Indicadores!H5)</f>
      </c>
      <c r="F31" s="32">
        <f>IF(Indicadores!$A$5="","",Indicadores!E5)</f>
      </c>
      <c r="G31" s="30">
        <f>IF(Indicadores!$A$5="","",Indicadores!B5)</f>
      </c>
      <c r="H31" s="16">
        <f>IF(Indicadores!$A$5="","",Indicadores!G5)</f>
      </c>
      <c r="I31" s="33">
        <f>IF(Indicadores!$A$5="","",Indicadores!F5)</f>
      </c>
    </row>
    <row r="32" spans="2:9" x14ac:dyDescent="0.25">
      <c r="B32" s="29">
        <f>IF(Indicadores!$A$6="","",Indicadores!A6)</f>
      </c>
      <c r="C32" s="16">
        <f>IF(Indicadores!$A$6="","",Indicadores!J6)</f>
      </c>
      <c r="D32" s="30">
        <f>IF(Indicadores!$A$6="","",Indicadores!K6)</f>
      </c>
      <c r="E32" s="16">
        <f>IF(Indicadores!$A$6="","",Indicadores!H6)</f>
      </c>
      <c r="F32" s="32">
        <f>IF(Indicadores!$A$6="","",Indicadores!E6)</f>
      </c>
      <c r="G32" s="30">
        <f>IF(Indicadores!$A$6="","",Indicadores!B6)</f>
      </c>
      <c r="H32" s="16">
        <f>IF(Indicadores!$A$6="","",Indicadores!G6)</f>
      </c>
      <c r="I32" s="33">
        <f>IF(Indicadores!$A$6="","",Indicadores!F6)</f>
      </c>
    </row>
    <row r="33" spans="2:9" x14ac:dyDescent="0.25">
      <c r="B33" s="29">
        <f>IF(Indicadores!$A$7="","",Indicadores!A7)</f>
      </c>
      <c r="C33" s="16">
        <f>IF(Indicadores!$A$7="","",Indicadores!J7)</f>
      </c>
      <c r="D33" s="30">
        <f>IF(Indicadores!$A$7="","",Indicadores!K7)</f>
      </c>
      <c r="E33" s="16">
        <f>IF(Indicadores!$A$7="","",Indicadores!H7)</f>
      </c>
      <c r="F33" s="32">
        <f>IF(Indicadores!$A$7="","",Indicadores!E7)</f>
      </c>
      <c r="G33" s="30">
        <f>IF(Indicadores!$A$7="","",Indicadores!B7)</f>
      </c>
      <c r="H33" s="16">
        <f>IF(Indicadores!$A$7="","",Indicadores!G7)</f>
      </c>
      <c r="I33" s="33">
        <f>IF(Indicadores!$A$7="","",Indicadores!F7)</f>
      </c>
    </row>
    <row r="34" spans="2:9" x14ac:dyDescent="0.25">
      <c r="B34" s="29">
        <f>IF(Indicadores!$A$8="","",Indicadores!A8)</f>
      </c>
      <c r="C34" s="16">
        <f>IF(Indicadores!$A$8="","",Indicadores!J8)</f>
      </c>
      <c r="D34" s="30">
        <f>IF(Indicadores!$A$8="","",Indicadores!K8)</f>
      </c>
      <c r="E34" s="16">
        <f>IF(Indicadores!$A$8="","",Indicadores!H8)</f>
      </c>
      <c r="F34" s="32">
        <f>IF(Indicadores!$A$8="","",Indicadores!E8)</f>
      </c>
      <c r="G34" s="30">
        <f>IF(Indicadores!$A$8="","",Indicadores!B8)</f>
      </c>
      <c r="H34" s="16">
        <f>IF(Indicadores!$A$8="","",Indicadores!G8)</f>
      </c>
      <c r="I34" s="33">
        <f>IF(Indicadores!$A$8="","",Indicadores!F8)</f>
      </c>
    </row>
    <row r="35" spans="2:9" x14ac:dyDescent="0.25">
      <c r="B35" s="29">
        <f>IF(Indicadores!$A$9="","",Indicadores!A9)</f>
      </c>
      <c r="C35" s="16">
        <f>IF(Indicadores!$A$9="","",Indicadores!J9)</f>
      </c>
      <c r="D35" s="30">
        <f>IF(Indicadores!$A$9="","",Indicadores!K9)</f>
      </c>
      <c r="E35" s="16">
        <f>IF(Indicadores!$A$9="","",Indicadores!H9)</f>
      </c>
      <c r="F35" s="32">
        <f>IF(Indicadores!$A$9="","",Indicadores!E9)</f>
      </c>
      <c r="G35" s="30">
        <f>IF(Indicadores!$A$9="","",Indicadores!B9)</f>
      </c>
      <c r="H35" s="16">
        <f>IF(Indicadores!$A$9="","",Indicadores!G9)</f>
      </c>
      <c r="I35" s="33">
        <f>IF(Indicadores!$A$9="","",Indicadores!F9)</f>
      </c>
    </row>
    <row r="36" spans="2:9" x14ac:dyDescent="0.25">
      <c r="B36" s="29">
        <f>IF(Indicadores!$A$10="","",Indicadores!A10)</f>
      </c>
      <c r="C36" s="16">
        <f>IF(Indicadores!$A$10="","",Indicadores!J10)</f>
      </c>
      <c r="D36" s="30">
        <f>IF(Indicadores!$A$10="","",Indicadores!K10)</f>
      </c>
      <c r="E36" s="16">
        <f>IF(Indicadores!$A$10="","",Indicadores!H10)</f>
      </c>
      <c r="F36" s="32">
        <f>IF(Indicadores!$A$10="","",Indicadores!E10)</f>
      </c>
      <c r="G36" s="30">
        <f>IF(Indicadores!$A$10="","",Indicadores!B10)</f>
      </c>
      <c r="H36" s="16">
        <f>IF(Indicadores!$A$10="","",Indicadores!G10)</f>
      </c>
      <c r="I36" s="33">
        <f>IF(Indicadores!$A$10="","",Indicadores!F10)</f>
      </c>
    </row>
    <row r="37" spans="2:9" x14ac:dyDescent="0.25">
      <c r="B37" s="29">
        <f>IF(Indicadores!$A$11="","",Indicadores!A11)</f>
      </c>
      <c r="C37" s="16">
        <f>IF(Indicadores!$A$11="","",Indicadores!J11)</f>
      </c>
      <c r="D37" s="30">
        <f>IF(Indicadores!$A$11="","",Indicadores!K11)</f>
      </c>
      <c r="E37" s="16">
        <f>IF(Indicadores!$A$11="","",Indicadores!H11)</f>
      </c>
      <c r="F37" s="32">
        <f>IF(Indicadores!$A$11="","",Indicadores!E11)</f>
      </c>
      <c r="G37" s="30">
        <f>IF(Indicadores!$A$11="","",Indicadores!B11)</f>
      </c>
      <c r="H37" s="16">
        <f>IF(Indicadores!$A$11="","",Indicadores!G11)</f>
      </c>
      <c r="I37" s="33">
        <f>IF(Indicadores!$A$11="","",Indicadores!F11)</f>
      </c>
    </row>
    <row r="38" spans="2:9" x14ac:dyDescent="0.25">
      <c r="B38" s="29">
        <f>IF(Indicadores!$A$12="","",Indicadores!A12)</f>
      </c>
      <c r="C38" s="16">
        <f>IF(Indicadores!$A$12="","",Indicadores!J12)</f>
      </c>
      <c r="D38" s="30">
        <f>IF(Indicadores!$A$12="","",Indicadores!K12)</f>
      </c>
      <c r="E38" s="16">
        <f>IF(Indicadores!$A$12="","",Indicadores!H12)</f>
      </c>
      <c r="F38" s="32">
        <f>IF(Indicadores!$A$12="","",Indicadores!E12)</f>
      </c>
      <c r="G38" s="30">
        <f>IF(Indicadores!$A$12="","",Indicadores!B12)</f>
      </c>
      <c r="H38" s="16">
        <f>IF(Indicadores!$A$12="","",Indicadores!G12)</f>
      </c>
      <c r="I38" s="33">
        <f>IF(Indicadores!$A$12="","",Indicadores!F12)</f>
      </c>
    </row>
    <row r="39" spans="2:9" x14ac:dyDescent="0.25">
      <c r="B39" s="29">
        <f>IF(Indicadores!$A$13="","",Indicadores!A13)</f>
      </c>
      <c r="C39" s="16">
        <f>IF(Indicadores!$A$13="","",Indicadores!J13)</f>
      </c>
      <c r="D39" s="30">
        <f>IF(Indicadores!$A$13="","",Indicadores!K13)</f>
      </c>
      <c r="E39" s="16">
        <f>IF(Indicadores!$A$13="","",Indicadores!H13)</f>
      </c>
      <c r="F39" s="32">
        <f>IF(Indicadores!$A$13="","",Indicadores!E13)</f>
      </c>
      <c r="G39" s="30">
        <f>IF(Indicadores!$A$13="","",Indicadores!B13)</f>
      </c>
      <c r="H39" s="16">
        <f>IF(Indicadores!$A$13="","",Indicadores!G13)</f>
      </c>
      <c r="I39" s="33">
        <f>IF(Indicadores!$A$13="","",Indicadores!F13)</f>
      </c>
    </row>
    <row r="40" spans="2:9" x14ac:dyDescent="0.25">
      <c r="B40" s="29">
        <f>IF(Indicadores!$A$14="","",Indicadores!A14)</f>
      </c>
      <c r="C40" s="16">
        <f>IF(Indicadores!$A$14="","",Indicadores!J14)</f>
      </c>
      <c r="D40" s="30">
        <f>IF(Indicadores!$A$14="","",Indicadores!K14)</f>
      </c>
      <c r="E40" s="16">
        <f>IF(Indicadores!$A$14="","",Indicadores!H14)</f>
      </c>
      <c r="F40" s="32">
        <f>IF(Indicadores!$A$14="","",Indicadores!E14)</f>
      </c>
      <c r="G40" s="30">
        <f>IF(Indicadores!$A$14="","",Indicadores!B14)</f>
      </c>
      <c r="H40" s="16">
        <f>IF(Indicadores!$A$14="","",Indicadores!G14)</f>
      </c>
      <c r="I40" s="33">
        <f>IF(Indicadores!$A$14="","",Indicadores!F14)</f>
      </c>
    </row>
    <row r="41" spans="2:9" x14ac:dyDescent="0.25">
      <c r="B41" s="29">
        <f>IF(Indicadores!$A$15="","",Indicadores!A15)</f>
      </c>
      <c r="C41" s="16">
        <f>IF(Indicadores!$A$15="","",Indicadores!J15)</f>
      </c>
      <c r="D41" s="30">
        <f>IF(Indicadores!$A$15="","",Indicadores!K15)</f>
      </c>
      <c r="E41" s="16">
        <f>IF(Indicadores!$A$15="","",Indicadores!H15)</f>
      </c>
      <c r="F41" s="32">
        <f>IF(Indicadores!$A$15="","",Indicadores!E15)</f>
      </c>
      <c r="G41" s="30">
        <f>IF(Indicadores!$A$15="","",Indicadores!B15)</f>
      </c>
      <c r="H41" s="16">
        <f>IF(Indicadores!$A$15="","",Indicadores!G15)</f>
      </c>
      <c r="I41" s="33">
        <f>IF(Indicadores!$A$15="","",Indicadores!F15)</f>
      </c>
    </row>
    <row r="42" spans="2:9" x14ac:dyDescent="0.25">
      <c r="B42" s="29">
        <f>IF(Indicadores!$A$16="","",Indicadores!A16)</f>
      </c>
      <c r="C42" s="16">
        <f>IF(Indicadores!$A$16="","",Indicadores!J16)</f>
      </c>
      <c r="D42" s="30">
        <f>IF(Indicadores!$A$16="","",Indicadores!K16)</f>
      </c>
      <c r="E42" s="16">
        <f>IF(Indicadores!$A$16="","",Indicadores!H16)</f>
      </c>
      <c r="F42" s="32">
        <f>IF(Indicadores!$A$16="","",Indicadores!E16)</f>
      </c>
      <c r="G42" s="30">
        <f>IF(Indicadores!$A$16="","",Indicadores!B16)</f>
      </c>
      <c r="H42" s="16">
        <f>IF(Indicadores!$A$16="","",Indicadores!G16)</f>
      </c>
      <c r="I42" s="33">
        <f>IF(Indicadores!$A$16="","",Indicadores!F16)</f>
      </c>
    </row>
    <row r="43" spans="2:9" x14ac:dyDescent="0.25">
      <c r="B43" s="29">
        <f>IF(Indicadores!$A$17="","",Indicadores!A17)</f>
      </c>
      <c r="C43" s="16">
        <f>IF(Indicadores!$A$17="","",Indicadores!J17)</f>
      </c>
      <c r="D43" s="30">
        <f>IF(Indicadores!$A$17="","",Indicadores!K17)</f>
      </c>
      <c r="E43" s="16">
        <f>IF(Indicadores!$A$17="","",Indicadores!H17)</f>
      </c>
      <c r="F43" s="32">
        <f>IF(Indicadores!$A$17="","",Indicadores!E17)</f>
      </c>
      <c r="G43" s="30">
        <f>IF(Indicadores!$A$17="","",Indicadores!B17)</f>
      </c>
      <c r="H43" s="16">
        <f>IF(Indicadores!$A$17="","",Indicadores!G17)</f>
      </c>
      <c r="I43" s="33">
        <f>IF(Indicadores!$A$17="","",Indicadores!F17)</f>
      </c>
    </row>
    <row r="44" spans="2:9" x14ac:dyDescent="0.25">
      <c r="B44" s="29">
        <f>IF(Indicadores!$A$18="","",Indicadores!A18)</f>
      </c>
      <c r="C44" s="16">
        <f>IF(Indicadores!$A$18="","",Indicadores!J18)</f>
      </c>
      <c r="D44" s="30">
        <f>IF(Indicadores!$A$18="","",Indicadores!K18)</f>
      </c>
      <c r="E44" s="16">
        <f>IF(Indicadores!$A$18="","",Indicadores!H18)</f>
      </c>
      <c r="F44" s="32">
        <f>IF(Indicadores!$A$18="","",Indicadores!E18)</f>
      </c>
      <c r="G44" s="30">
        <f>IF(Indicadores!$A$18="","",Indicadores!B18)</f>
      </c>
      <c r="H44" s="16">
        <f>IF(Indicadores!$A$18="","",Indicadores!G18)</f>
      </c>
      <c r="I44" s="33">
        <f>IF(Indicadores!$A$18="","",Indicadores!F18)</f>
      </c>
    </row>
    <row r="45" spans="2:9" x14ac:dyDescent="0.25">
      <c r="B45" s="29">
        <f>IF(Indicadores!$A$19="","",Indicadores!A19)</f>
      </c>
      <c r="C45" s="16">
        <f>IF(Indicadores!$A$19="","",Indicadores!J19)</f>
      </c>
      <c r="D45" s="30">
        <f>IF(Indicadores!$A$19="","",Indicadores!K19)</f>
      </c>
      <c r="E45" s="16">
        <f>IF(Indicadores!$A$19="","",Indicadores!H19)</f>
      </c>
      <c r="F45" s="32">
        <f>IF(Indicadores!$A$19="","",Indicadores!E19)</f>
      </c>
      <c r="G45" s="30">
        <f>IF(Indicadores!$A$19="","",Indicadores!B19)</f>
      </c>
      <c r="H45" s="16">
        <f>IF(Indicadores!$A$19="","",Indicadores!G19)</f>
      </c>
      <c r="I45" s="33">
        <f>IF(Indicadores!$A$19="","",Indicadores!F19)</f>
      </c>
    </row>
    <row r="46" spans="2:9" x14ac:dyDescent="0.25">
      <c r="B46" s="29">
        <f>IF(Indicadores!$A$20="","",Indicadores!A20)</f>
      </c>
      <c r="C46" s="16">
        <f>IF(Indicadores!$A$20="","",Indicadores!J20)</f>
      </c>
      <c r="D46" s="30">
        <f>IF(Indicadores!$A$20="","",Indicadores!K20)</f>
      </c>
      <c r="E46" s="16">
        <f>IF(Indicadores!$A$20="","",Indicadores!H20)</f>
      </c>
      <c r="F46" s="32">
        <f>IF(Indicadores!$A$20="","",Indicadores!E20)</f>
      </c>
      <c r="G46" s="30">
        <f>IF(Indicadores!$A$20="","",Indicadores!B20)</f>
      </c>
      <c r="H46" s="16">
        <f>IF(Indicadores!$A$20="","",Indicadores!G20)</f>
      </c>
      <c r="I46" s="33">
        <f>IF(Indicadores!$A$20="","",Indicadores!F20)</f>
      </c>
    </row>
    <row r="47" spans="2:9" x14ac:dyDescent="0.25">
      <c r="B47" s="29">
        <f>IF(Indicadores!$A$21="","",Indicadores!A21)</f>
      </c>
      <c r="C47" s="16">
        <f>IF(Indicadores!$A$21="","",Indicadores!J21)</f>
      </c>
      <c r="D47" s="30">
        <f>IF(Indicadores!$A$21="","",Indicadores!K21)</f>
      </c>
      <c r="E47" s="16">
        <f>IF(Indicadores!$A$21="","",Indicadores!H21)</f>
      </c>
      <c r="F47" s="32">
        <f>IF(Indicadores!$A$21="","",Indicadores!E21)</f>
      </c>
      <c r="G47" s="30">
        <f>IF(Indicadores!$A$21="","",Indicadores!B21)</f>
      </c>
      <c r="H47" s="16">
        <f>IF(Indicadores!$A$21="","",Indicadores!G21)</f>
      </c>
      <c r="I47" s="33">
        <f>IF(Indicadores!$A$21="","",Indicadores!F21)</f>
      </c>
    </row>
    <row r="48" spans="2:9" x14ac:dyDescent="0.25">
      <c r="B48" s="29">
        <f>IF(Indicadores!$A$22="","",Indicadores!A22)</f>
      </c>
      <c r="C48" s="16">
        <f>IF(Indicadores!$A$22="","",Indicadores!J22)</f>
      </c>
      <c r="D48" s="30">
        <f>IF(Indicadores!$A$22="","",Indicadores!K22)</f>
      </c>
      <c r="E48" s="16">
        <f>IF(Indicadores!$A$22="","",Indicadores!H22)</f>
      </c>
      <c r="F48" s="32">
        <f>IF(Indicadores!$A$22="","",Indicadores!E22)</f>
      </c>
      <c r="G48" s="30">
        <f>IF(Indicadores!$A$22="","",Indicadores!B22)</f>
      </c>
      <c r="H48" s="16">
        <f>IF(Indicadores!$A$22="","",Indicadores!G22)</f>
      </c>
      <c r="I48" s="33">
        <f>IF(Indicadores!$A$22="","",Indicadores!F22)</f>
      </c>
    </row>
    <row r="49" spans="2:9" x14ac:dyDescent="0.25">
      <c r="B49" s="29">
        <f>IF(Indicadores!$A$23="","",Indicadores!A23)</f>
      </c>
      <c r="C49" s="16">
        <f>IF(Indicadores!$A$23="","",Indicadores!J23)</f>
      </c>
      <c r="D49" s="30">
        <f>IF(Indicadores!$A$23="","",Indicadores!K23)</f>
      </c>
      <c r="E49" s="16">
        <f>IF(Indicadores!$A$23="","",Indicadores!H23)</f>
      </c>
      <c r="F49" s="32">
        <f>IF(Indicadores!$A$23="","",Indicadores!E23)</f>
      </c>
      <c r="G49" s="30">
        <f>IF(Indicadores!$A$23="","",Indicadores!B23)</f>
      </c>
      <c r="H49" s="16">
        <f>IF(Indicadores!$A$23="","",Indicadores!G23)</f>
      </c>
      <c r="I49" s="33">
        <f>IF(Indicadores!$A$23="","",Indicadores!F23)</f>
      </c>
    </row>
    <row r="50" spans="2:9" x14ac:dyDescent="0.25">
      <c r="B50" s="29">
        <f>IF(Indicadores!$A$24="","",Indicadores!A24)</f>
      </c>
      <c r="C50" s="16">
        <f>IF(Indicadores!$A$24="","",Indicadores!J24)</f>
      </c>
      <c r="D50" s="30">
        <f>IF(Indicadores!$A$24="","",Indicadores!K24)</f>
      </c>
      <c r="E50" s="16">
        <f>IF(Indicadores!$A$24="","",Indicadores!H24)</f>
      </c>
      <c r="F50" s="32">
        <f>IF(Indicadores!$A$24="","",Indicadores!E24)</f>
      </c>
      <c r="G50" s="30">
        <f>IF(Indicadores!$A$24="","",Indicadores!B24)</f>
      </c>
      <c r="H50" s="16">
        <f>IF(Indicadores!$A$24="","",Indicadores!G24)</f>
      </c>
      <c r="I50" s="33">
        <f>IF(Indicadores!$A$24="","",Indicadores!F24)</f>
      </c>
    </row>
    <row r="51" spans="2:9" x14ac:dyDescent="0.25">
      <c r="B51" s="29">
        <f>IF(Indicadores!$A$25="","",Indicadores!A25)</f>
      </c>
      <c r="C51" s="16">
        <f>IF(Indicadores!$A$25="","",Indicadores!J25)</f>
      </c>
      <c r="D51" s="30">
        <f>IF(Indicadores!$A$25="","",Indicadores!K25)</f>
      </c>
      <c r="E51" s="16">
        <f>IF(Indicadores!$A$25="","",Indicadores!H25)</f>
      </c>
      <c r="F51" s="32">
        <f>IF(Indicadores!$A$25="","",Indicadores!E25)</f>
      </c>
      <c r="G51" s="30">
        <f>IF(Indicadores!$A$25="","",Indicadores!B25)</f>
      </c>
      <c r="H51" s="16">
        <f>IF(Indicadores!$A$25="","",Indicadores!G25)</f>
      </c>
      <c r="I51" s="33">
        <f>IF(Indicadores!$A$25="","",Indicadores!F25)</f>
      </c>
    </row>
    <row r="52" spans="2:9" x14ac:dyDescent="0.25">
      <c r="B52" s="29">
        <f>IF(Indicadores!$A$26="","",Indicadores!A26)</f>
      </c>
      <c r="C52" s="16">
        <f>IF(Indicadores!$A$26="","",Indicadores!J26)</f>
      </c>
      <c r="D52" s="30">
        <f>IF(Indicadores!$A$26="","",Indicadores!K26)</f>
      </c>
      <c r="E52" s="16">
        <f>IF(Indicadores!$A$26="","",Indicadores!H26)</f>
      </c>
      <c r="F52" s="32">
        <f>IF(Indicadores!$A$26="","",Indicadores!E26)</f>
      </c>
      <c r="G52" s="30">
        <f>IF(Indicadores!$A$26="","",Indicadores!B26)</f>
      </c>
      <c r="H52" s="16">
        <f>IF(Indicadores!$A$26="","",Indicadores!G26)</f>
      </c>
      <c r="I52" s="33">
        <f>IF(Indicadores!$A$26="","",Indicadores!F26)</f>
      </c>
    </row>
    <row r="53" spans="2:9" x14ac:dyDescent="0.25">
      <c r="B53" s="29">
        <f>IF(Indicadores!$A$27="","",Indicadores!A27)</f>
      </c>
      <c r="C53" s="16">
        <f>IF(Indicadores!$A$27="","",Indicadores!J27)</f>
      </c>
      <c r="D53" s="30">
        <f>IF(Indicadores!$A$27="","",Indicadores!K27)</f>
      </c>
      <c r="E53" s="16">
        <f>IF(Indicadores!$A$27="","",Indicadores!H27)</f>
      </c>
      <c r="F53" s="32">
        <f>IF(Indicadores!$A$27="","",Indicadores!E27)</f>
      </c>
      <c r="G53" s="30">
        <f>IF(Indicadores!$A$27="","",Indicadores!B27)</f>
      </c>
      <c r="H53" s="16">
        <f>IF(Indicadores!$A$27="","",Indicadores!G27)</f>
      </c>
      <c r="I53" s="33">
        <f>IF(Indicadores!$A$27="","",Indicadores!F27)</f>
      </c>
    </row>
    <row r="54" spans="2:9" x14ac:dyDescent="0.25">
      <c r="B54" s="29">
        <f>IF(Indicadores!$A$28="","",Indicadores!A28)</f>
      </c>
      <c r="C54" s="16">
        <f>IF(Indicadores!$A$28="","",Indicadores!J28)</f>
      </c>
      <c r="D54" s="30">
        <f>IF(Indicadores!$A$28="","",Indicadores!K28)</f>
      </c>
      <c r="E54" s="16">
        <f>IF(Indicadores!$A$28="","",Indicadores!H28)</f>
      </c>
      <c r="F54" s="32">
        <f>IF(Indicadores!$A$28="","",Indicadores!E28)</f>
      </c>
      <c r="G54" s="30">
        <f>IF(Indicadores!$A$28="","",Indicadores!B28)</f>
      </c>
      <c r="H54" s="16">
        <f>IF(Indicadores!$A$28="","",Indicadores!G28)</f>
      </c>
      <c r="I54" s="33">
        <f>IF(Indicadores!$A$28="","",Indicadores!F28)</f>
      </c>
    </row>
    <row r="55" spans="2:9" x14ac:dyDescent="0.25">
      <c r="B55" s="29">
        <f>IF(Indicadores!$A$29="","",Indicadores!A29)</f>
      </c>
      <c r="C55" s="16">
        <f>IF(Indicadores!$A$29="","",Indicadores!J29)</f>
      </c>
      <c r="D55" s="30">
        <f>IF(Indicadores!$A$29="","",Indicadores!K29)</f>
      </c>
      <c r="E55" s="16">
        <f>IF(Indicadores!$A$29="","",Indicadores!H29)</f>
      </c>
      <c r="F55" s="32">
        <f>IF(Indicadores!$A$29="","",Indicadores!E29)</f>
      </c>
      <c r="G55" s="30">
        <f>IF(Indicadores!$A$29="","",Indicadores!B29)</f>
      </c>
      <c r="H55" s="16">
        <f>IF(Indicadores!$A$29="","",Indicadores!G29)</f>
      </c>
      <c r="I55" s="33">
        <f>IF(Indicadores!$A$29="","",Indicadores!F29)</f>
      </c>
    </row>
    <row r="56" spans="2:9" x14ac:dyDescent="0.25">
      <c r="B56" s="29">
        <f>IF(Indicadores!$A$30="","",Indicadores!A30)</f>
      </c>
      <c r="C56" s="16">
        <f>IF(Indicadores!$A$30="","",Indicadores!J30)</f>
      </c>
      <c r="D56" s="30">
        <f>IF(Indicadores!$A$30="","",Indicadores!K30)</f>
      </c>
      <c r="E56" s="16">
        <f>IF(Indicadores!$A$30="","",Indicadores!H30)</f>
      </c>
      <c r="F56" s="32">
        <f>IF(Indicadores!$A$30="","",Indicadores!E30)</f>
      </c>
      <c r="G56" s="30">
        <f>IF(Indicadores!$A$30="","",Indicadores!B30)</f>
      </c>
      <c r="H56" s="16">
        <f>IF(Indicadores!$A$30="","",Indicadores!G30)</f>
      </c>
      <c r="I56" s="33">
        <f>IF(Indicadores!$A$30="","",Indicadores!F30)</f>
      </c>
    </row>
    <row r="57" spans="2:9" x14ac:dyDescent="0.25">
      <c r="B57" s="29">
        <f>IF(Indicadores!$A$31="","",Indicadores!A31)</f>
      </c>
      <c r="C57" s="16">
        <f>IF(Indicadores!$A$31="","",Indicadores!J31)</f>
      </c>
      <c r="D57" s="30">
        <f>IF(Indicadores!$A$31="","",Indicadores!K31)</f>
      </c>
      <c r="E57" s="16">
        <f>IF(Indicadores!$A$31="","",Indicadores!H31)</f>
      </c>
      <c r="F57" s="32">
        <f>IF(Indicadores!$A$31="","",Indicadores!E31)</f>
      </c>
      <c r="G57" s="30">
        <f>IF(Indicadores!$A$31="","",Indicadores!B31)</f>
      </c>
      <c r="H57" s="16">
        <f>IF(Indicadores!$A$31="","",Indicadores!G31)</f>
      </c>
      <c r="I57" s="33">
        <f>IF(Indicadores!$A$31="","",Indicadores!F31)</f>
      </c>
    </row>
    <row r="58" spans="2:9" x14ac:dyDescent="0.25">
      <c r="B58" s="29">
        <f>IF(Indicadores!$A$32="","",Indicadores!A32)</f>
      </c>
      <c r="C58" s="16">
        <f>IF(Indicadores!$A$32="","",Indicadores!J32)</f>
      </c>
      <c r="D58" s="30">
        <f>IF(Indicadores!$A$32="","",Indicadores!K32)</f>
      </c>
      <c r="E58" s="16">
        <f>IF(Indicadores!$A$32="","",Indicadores!H32)</f>
      </c>
      <c r="F58" s="32">
        <f>IF(Indicadores!$A$32="","",Indicadores!E32)</f>
      </c>
      <c r="G58" s="30">
        <f>IF(Indicadores!$A$32="","",Indicadores!B32)</f>
      </c>
      <c r="H58" s="16">
        <f>IF(Indicadores!$A$32="","",Indicadores!G32)</f>
      </c>
      <c r="I58" s="33">
        <f>IF(Indicadores!$A$32="","",Indicadores!F32)</f>
      </c>
    </row>
    <row r="59" spans="2:9" x14ac:dyDescent="0.25">
      <c r="B59" s="29">
        <f>IF(Indicadores!$A$33="","",Indicadores!A33)</f>
      </c>
      <c r="C59" s="16">
        <f>IF(Indicadores!$A$33="","",Indicadores!J33)</f>
      </c>
      <c r="D59" s="30">
        <f>IF(Indicadores!$A$33="","",Indicadores!K33)</f>
      </c>
      <c r="E59" s="16">
        <f>IF(Indicadores!$A$33="","",Indicadores!H33)</f>
      </c>
      <c r="F59" s="32">
        <f>IF(Indicadores!$A$33="","",Indicadores!E33)</f>
      </c>
      <c r="G59" s="30">
        <f>IF(Indicadores!$A$33="","",Indicadores!B33)</f>
      </c>
      <c r="H59" s="16">
        <f>IF(Indicadores!$A$33="","",Indicadores!G33)</f>
      </c>
      <c r="I59" s="33">
        <f>IF(Indicadores!$A$33="","",Indicadores!F33)</f>
      </c>
    </row>
    <row r="60" spans="2:9" x14ac:dyDescent="0.25">
      <c r="B60" s="29">
        <f>IF(Indicadores!$A$34="","",Indicadores!A34)</f>
      </c>
      <c r="C60" s="16">
        <f>IF(Indicadores!$A$34="","",Indicadores!J34)</f>
      </c>
      <c r="D60" s="30">
        <f>IF(Indicadores!$A$34="","",Indicadores!K34)</f>
      </c>
      <c r="E60" s="16">
        <f>IF(Indicadores!$A$34="","",Indicadores!H34)</f>
      </c>
      <c r="F60" s="32">
        <f>IF(Indicadores!$A$34="","",Indicadores!E34)</f>
      </c>
      <c r="G60" s="30">
        <f>IF(Indicadores!$A$34="","",Indicadores!B34)</f>
      </c>
      <c r="H60" s="16">
        <f>IF(Indicadores!$A$34="","",Indicadores!G34)</f>
      </c>
      <c r="I60" s="33">
        <f>IF(Indicadores!$A$34="","",Indicadores!F34)</f>
      </c>
    </row>
    <row r="61" spans="2:9" x14ac:dyDescent="0.25">
      <c r="B61" s="29">
        <f>IF(Indicadores!$A$35="","",Indicadores!A35)</f>
      </c>
      <c r="C61" s="16">
        <f>IF(Indicadores!$A$35="","",Indicadores!J35)</f>
      </c>
      <c r="D61" s="30">
        <f>IF(Indicadores!$A$35="","",Indicadores!K35)</f>
      </c>
      <c r="E61" s="16">
        <f>IF(Indicadores!$A$35="","",Indicadores!H35)</f>
      </c>
      <c r="F61" s="32">
        <f>IF(Indicadores!$A$35="","",Indicadores!E35)</f>
      </c>
      <c r="G61" s="30">
        <f>IF(Indicadores!$A$35="","",Indicadores!B35)</f>
      </c>
      <c r="H61" s="16">
        <f>IF(Indicadores!$A$35="","",Indicadores!G35)</f>
      </c>
      <c r="I61" s="33">
        <f>IF(Indicadores!$A$35="","",Indicadores!F35)</f>
      </c>
    </row>
    <row r="62" spans="2:9" x14ac:dyDescent="0.25">
      <c r="B62" s="29">
        <f>IF(Indicadores!$A$36="","",Indicadores!A36)</f>
      </c>
      <c r="C62" s="16">
        <f>IF(Indicadores!$A$36="","",Indicadores!J36)</f>
      </c>
      <c r="D62" s="30">
        <f>IF(Indicadores!$A$36="","",Indicadores!K36)</f>
      </c>
      <c r="E62" s="16">
        <f>IF(Indicadores!$A$36="","",Indicadores!H36)</f>
      </c>
      <c r="F62" s="32">
        <f>IF(Indicadores!$A$36="","",Indicadores!E36)</f>
      </c>
      <c r="G62" s="30">
        <f>IF(Indicadores!$A$36="","",Indicadores!B36)</f>
      </c>
      <c r="H62" s="16">
        <f>IF(Indicadores!$A$36="","",Indicadores!G36)</f>
      </c>
      <c r="I62" s="33">
        <f>IF(Indicadores!$A$36="","",Indicadores!F36)</f>
      </c>
    </row>
    <row r="63" spans="2:9" x14ac:dyDescent="0.25">
      <c r="B63" s="29">
        <f>IF(Indicadores!$A$37="","",Indicadores!A37)</f>
      </c>
      <c r="C63" s="16">
        <f>IF(Indicadores!$A$37="","",Indicadores!J37)</f>
      </c>
      <c r="D63" s="30">
        <f>IF(Indicadores!$A$37="","",Indicadores!K37)</f>
      </c>
      <c r="E63" s="16">
        <f>IF(Indicadores!$A$37="","",Indicadores!H37)</f>
      </c>
      <c r="F63" s="32">
        <f>IF(Indicadores!$A$37="","",Indicadores!E37)</f>
      </c>
      <c r="G63" s="30">
        <f>IF(Indicadores!$A$37="","",Indicadores!B37)</f>
      </c>
      <c r="H63" s="16">
        <f>IF(Indicadores!$A$37="","",Indicadores!G37)</f>
      </c>
      <c r="I63" s="33">
        <f>IF(Indicadores!$A$37="","",Indicadores!F37)</f>
      </c>
    </row>
    <row r="64" spans="2:9" x14ac:dyDescent="0.25">
      <c r="B64" s="29">
        <f>IF(Indicadores!$A$38="","",Indicadores!A38)</f>
      </c>
      <c r="C64" s="16">
        <f>IF(Indicadores!$A$38="","",Indicadores!J38)</f>
      </c>
      <c r="D64" s="30">
        <f>IF(Indicadores!$A$38="","",Indicadores!K38)</f>
      </c>
      <c r="E64" s="16">
        <f>IF(Indicadores!$A$38="","",Indicadores!H38)</f>
      </c>
      <c r="F64" s="32">
        <f>IF(Indicadores!$A$38="","",Indicadores!E38)</f>
      </c>
      <c r="G64" s="30">
        <f>IF(Indicadores!$A$38="","",Indicadores!B38)</f>
      </c>
      <c r="H64" s="16">
        <f>IF(Indicadores!$A$38="","",Indicadores!G38)</f>
      </c>
      <c r="I64" s="33">
        <f>IF(Indicadores!$A$38="","",Indicadores!F38)</f>
      </c>
    </row>
    <row r="65" spans="2:9" x14ac:dyDescent="0.25">
      <c r="B65" s="29">
        <f>IF(Indicadores!$A$39="","",Indicadores!A39)</f>
      </c>
      <c r="C65" s="16">
        <f>IF(Indicadores!$A$39="","",Indicadores!J39)</f>
      </c>
      <c r="D65" s="30">
        <f>IF(Indicadores!$A$39="","",Indicadores!K39)</f>
      </c>
      <c r="E65" s="16">
        <f>IF(Indicadores!$A$39="","",Indicadores!H39)</f>
      </c>
      <c r="F65" s="32">
        <f>IF(Indicadores!$A$39="","",Indicadores!E39)</f>
      </c>
      <c r="G65" s="30">
        <f>IF(Indicadores!$A$39="","",Indicadores!B39)</f>
      </c>
      <c r="H65" s="16">
        <f>IF(Indicadores!$A$39="","",Indicadores!G39)</f>
      </c>
      <c r="I65" s="33">
        <f>IF(Indicadores!$A$39="","",Indicadores!F39)</f>
      </c>
    </row>
    <row r="66" spans="2:9" x14ac:dyDescent="0.25">
      <c r="B66" s="29">
        <f>IF(Indicadores!$A$40="","",Indicadores!A40)</f>
      </c>
      <c r="C66" s="16">
        <f>IF(Indicadores!$A$40="","",Indicadores!J40)</f>
      </c>
      <c r="D66" s="30">
        <f>IF(Indicadores!$A$40="","",Indicadores!K40)</f>
      </c>
      <c r="E66" s="16">
        <f>IF(Indicadores!$A$40="","",Indicadores!H40)</f>
      </c>
      <c r="F66" s="32">
        <f>IF(Indicadores!$A$40="","",Indicadores!E40)</f>
      </c>
      <c r="G66" s="30">
        <f>IF(Indicadores!$A$40="","",Indicadores!B40)</f>
      </c>
      <c r="H66" s="16">
        <f>IF(Indicadores!$A$40="","",Indicadores!G40)</f>
      </c>
      <c r="I66" s="33">
        <f>IF(Indicadores!$A$40="","",Indicadores!F40)</f>
      </c>
    </row>
    <row r="67" spans="2:9" x14ac:dyDescent="0.25">
      <c r="B67" s="29">
        <f>IF(Indicadores!$A$41="","",Indicadores!A41)</f>
      </c>
      <c r="C67" s="16">
        <f>IF(Indicadores!$A$41="","",Indicadores!J41)</f>
      </c>
      <c r="D67" s="30">
        <f>IF(Indicadores!$A$41="","",Indicadores!K41)</f>
      </c>
      <c r="E67" s="16">
        <f>IF(Indicadores!$A$41="","",Indicadores!H41)</f>
      </c>
      <c r="F67" s="32">
        <f>IF(Indicadores!$A$41="","",Indicadores!E41)</f>
      </c>
      <c r="G67" s="30">
        <f>IF(Indicadores!$A$41="","",Indicadores!B41)</f>
      </c>
      <c r="H67" s="16">
        <f>IF(Indicadores!$A$41="","",Indicadores!G41)</f>
      </c>
      <c r="I67" s="33">
        <f>IF(Indicadores!$A$41="","",Indicadores!F41)</f>
      </c>
    </row>
    <row r="68" spans="2:9" x14ac:dyDescent="0.25">
      <c r="B68" s="29">
        <f>IF(Indicadores!$A$42="","",Indicadores!A42)</f>
      </c>
      <c r="C68" s="16">
        <f>IF(Indicadores!$A$42="","",Indicadores!J42)</f>
      </c>
      <c r="D68" s="30">
        <f>IF(Indicadores!$A$42="","",Indicadores!K42)</f>
      </c>
      <c r="E68" s="16">
        <f>IF(Indicadores!$A$42="","",Indicadores!H42)</f>
      </c>
      <c r="F68" s="32">
        <f>IF(Indicadores!$A$42="","",Indicadores!E42)</f>
      </c>
      <c r="G68" s="30">
        <f>IF(Indicadores!$A$42="","",Indicadores!B42)</f>
      </c>
      <c r="H68" s="16">
        <f>IF(Indicadores!$A$42="","",Indicadores!G42)</f>
      </c>
      <c r="I68" s="33">
        <f>IF(Indicadores!$A$42="","",Indicadores!F42)</f>
      </c>
    </row>
    <row r="69" spans="2:9" x14ac:dyDescent="0.25">
      <c r="B69" s="29">
        <f>IF(Indicadores!$A$43="","",Indicadores!A43)</f>
      </c>
      <c r="C69" s="16">
        <f>IF(Indicadores!$A$43="","",Indicadores!J43)</f>
      </c>
      <c r="D69" s="30">
        <f>IF(Indicadores!$A$43="","",Indicadores!K43)</f>
      </c>
      <c r="E69" s="16">
        <f>IF(Indicadores!$A$43="","",Indicadores!H43)</f>
      </c>
      <c r="F69" s="32">
        <f>IF(Indicadores!$A$43="","",Indicadores!E43)</f>
      </c>
      <c r="G69" s="30">
        <f>IF(Indicadores!$A$43="","",Indicadores!B43)</f>
      </c>
      <c r="H69" s="16">
        <f>IF(Indicadores!$A$43="","",Indicadores!G43)</f>
      </c>
      <c r="I69" s="33">
        <f>IF(Indicadores!$A$43="","",Indicadores!F43)</f>
      </c>
    </row>
    <row r="70" spans="2:9" x14ac:dyDescent="0.25">
      <c r="B70" s="29">
        <f>IF(Indicadores!$A$44="","",Indicadores!A44)</f>
      </c>
      <c r="C70" s="16">
        <f>IF(Indicadores!$A$44="","",Indicadores!J44)</f>
      </c>
      <c r="D70" s="30">
        <f>IF(Indicadores!$A$44="","",Indicadores!K44)</f>
      </c>
      <c r="E70" s="16">
        <f>IF(Indicadores!$A$44="","",Indicadores!H44)</f>
      </c>
      <c r="F70" s="32">
        <f>IF(Indicadores!$A$44="","",Indicadores!E44)</f>
      </c>
      <c r="G70" s="30">
        <f>IF(Indicadores!$A$44="","",Indicadores!B44)</f>
      </c>
      <c r="H70" s="16">
        <f>IF(Indicadores!$A$44="","",Indicadores!G44)</f>
      </c>
      <c r="I70" s="33">
        <f>IF(Indicadores!$A$44="","",Indicadores!F44)</f>
      </c>
    </row>
    <row r="71" spans="2:9" x14ac:dyDescent="0.25">
      <c r="B71" s="29">
        <f>IF(Indicadores!$A$45="","",Indicadores!A45)</f>
      </c>
      <c r="C71" s="16">
        <f>IF(Indicadores!$A$45="","",Indicadores!J45)</f>
      </c>
      <c r="D71" s="30">
        <f>IF(Indicadores!$A$45="","",Indicadores!K45)</f>
      </c>
      <c r="E71" s="16">
        <f>IF(Indicadores!$A$45="","",Indicadores!H45)</f>
      </c>
      <c r="F71" s="32">
        <f>IF(Indicadores!$A$45="","",Indicadores!E45)</f>
      </c>
      <c r="G71" s="30">
        <f>IF(Indicadores!$A$45="","",Indicadores!B45)</f>
      </c>
      <c r="H71" s="16">
        <f>IF(Indicadores!$A$45="","",Indicadores!G45)</f>
      </c>
      <c r="I71" s="33">
        <f>IF(Indicadores!$A$45="","",Indicadores!F45)</f>
      </c>
    </row>
    <row r="72" spans="2:9" x14ac:dyDescent="0.25">
      <c r="B72" s="29">
        <f>IF(Indicadores!$A$46="","",Indicadores!A46)</f>
      </c>
      <c r="C72" s="16">
        <f>IF(Indicadores!$A$46="","",Indicadores!J46)</f>
      </c>
      <c r="D72" s="30">
        <f>IF(Indicadores!$A$46="","",Indicadores!K46)</f>
      </c>
      <c r="E72" s="16">
        <f>IF(Indicadores!$A$46="","",Indicadores!H46)</f>
      </c>
      <c r="F72" s="32">
        <f>IF(Indicadores!$A$46="","",Indicadores!E46)</f>
      </c>
      <c r="G72" s="30">
        <f>IF(Indicadores!$A$46="","",Indicadores!B46)</f>
      </c>
      <c r="H72" s="16">
        <f>IF(Indicadores!$A$46="","",Indicadores!G46)</f>
      </c>
      <c r="I72" s="33">
        <f>IF(Indicadores!$A$46="","",Indicadores!F46)</f>
      </c>
    </row>
    <row r="73" spans="2:9" x14ac:dyDescent="0.25">
      <c r="B73" s="29">
        <f>IF(Indicadores!$A$47="","",Indicadores!A47)</f>
      </c>
      <c r="C73" s="16">
        <f>IF(Indicadores!$A$47="","",Indicadores!J47)</f>
      </c>
      <c r="D73" s="30">
        <f>IF(Indicadores!$A$47="","",Indicadores!K47)</f>
      </c>
      <c r="E73" s="16">
        <f>IF(Indicadores!$A$47="","",Indicadores!H47)</f>
      </c>
      <c r="F73" s="32">
        <f>IF(Indicadores!$A$47="","",Indicadores!E47)</f>
      </c>
      <c r="G73" s="30">
        <f>IF(Indicadores!$A$47="","",Indicadores!B47)</f>
      </c>
      <c r="H73" s="16">
        <f>IF(Indicadores!$A$47="","",Indicadores!G47)</f>
      </c>
      <c r="I73" s="33">
        <f>IF(Indicadores!$A$47="","",Indicadores!F47)</f>
      </c>
    </row>
    <row r="74" spans="2:9" x14ac:dyDescent="0.25">
      <c r="B74" s="29">
        <f>IF(Indicadores!$A$48="","",Indicadores!A48)</f>
      </c>
      <c r="C74" s="16">
        <f>IF(Indicadores!$A$48="","",Indicadores!J48)</f>
      </c>
      <c r="D74" s="30">
        <f>IF(Indicadores!$A$48="","",Indicadores!K48)</f>
      </c>
      <c r="E74" s="16">
        <f>IF(Indicadores!$A$48="","",Indicadores!H48)</f>
      </c>
      <c r="F74" s="32">
        <f>IF(Indicadores!$A$48="","",Indicadores!E48)</f>
      </c>
      <c r="G74" s="30">
        <f>IF(Indicadores!$A$48="","",Indicadores!B48)</f>
      </c>
      <c r="H74" s="16">
        <f>IF(Indicadores!$A$48="","",Indicadores!G48)</f>
      </c>
      <c r="I74" s="33">
        <f>IF(Indicadores!$A$48="","",Indicadores!F48)</f>
      </c>
    </row>
    <row r="75" spans="2:9" x14ac:dyDescent="0.25">
      <c r="B75" s="29">
        <f>IF(Indicadores!$A$49="","",Indicadores!A49)</f>
      </c>
      <c r="C75" s="16">
        <f>IF(Indicadores!$A$49="","",Indicadores!J49)</f>
      </c>
      <c r="D75" s="30">
        <f>IF(Indicadores!$A$49="","",Indicadores!K49)</f>
      </c>
      <c r="E75" s="16">
        <f>IF(Indicadores!$A$49="","",Indicadores!H49)</f>
      </c>
      <c r="F75" s="32">
        <f>IF(Indicadores!$A$49="","",Indicadores!E49)</f>
      </c>
      <c r="G75" s="30">
        <f>IF(Indicadores!$A$49="","",Indicadores!B49)</f>
      </c>
      <c r="H75" s="16">
        <f>IF(Indicadores!$A$49="","",Indicadores!G49)</f>
      </c>
      <c r="I75" s="33">
        <f>IF(Indicadores!$A$49="","",Indicadores!F49)</f>
      </c>
    </row>
    <row r="76" spans="2:9" x14ac:dyDescent="0.25">
      <c r="B76" s="29">
        <f>IF(Indicadores!$A$50="","",Indicadores!A50)</f>
      </c>
      <c r="C76" s="16">
        <f>IF(Indicadores!$A$50="","",Indicadores!J50)</f>
      </c>
      <c r="D76" s="30">
        <f>IF(Indicadores!$A$50="","",Indicadores!K50)</f>
      </c>
      <c r="E76" s="16">
        <f>IF(Indicadores!$A$50="","",Indicadores!H50)</f>
      </c>
      <c r="F76" s="32">
        <f>IF(Indicadores!$A$50="","",Indicadores!E50)</f>
      </c>
      <c r="G76" s="30">
        <f>IF(Indicadores!$A$50="","",Indicadores!B50)</f>
      </c>
      <c r="H76" s="16">
        <f>IF(Indicadores!$A$50="","",Indicadores!G50)</f>
      </c>
      <c r="I76" s="33">
        <f>IF(Indicadores!$A$50="","",Indicadores!F50)</f>
      </c>
    </row>
    <row r="77" spans="2:9" x14ac:dyDescent="0.25">
      <c r="B77" s="29">
        <f>IF(Indicadores!$A$51="","",Indicadores!A51)</f>
      </c>
      <c r="C77" s="16">
        <f>IF(Indicadores!$A$51="","",Indicadores!J51)</f>
      </c>
      <c r="D77" s="30">
        <f>IF(Indicadores!$A$51="","",Indicadores!K51)</f>
      </c>
      <c r="E77" s="16">
        <f>IF(Indicadores!$A$51="","",Indicadores!H51)</f>
      </c>
      <c r="F77" s="32">
        <f>IF(Indicadores!$A$51="","",Indicadores!E51)</f>
      </c>
      <c r="G77" s="30">
        <f>IF(Indicadores!$A$51="","",Indicadores!B51)</f>
      </c>
      <c r="H77" s="16">
        <f>IF(Indicadores!$A$51="","",Indicadores!G51)</f>
      </c>
      <c r="I77" s="33">
        <f>IF(Indicadores!$A$51="","",Indicadores!F51)</f>
      </c>
    </row>
    <row r="78" spans="2:9" x14ac:dyDescent="0.25">
      <c r="B78" s="29">
        <f>IF(Indicadores!$A$52="","",Indicadores!A52)</f>
      </c>
      <c r="C78" s="16">
        <f>IF(Indicadores!$A$52="","",Indicadores!J52)</f>
      </c>
      <c r="D78" s="30">
        <f>IF(Indicadores!$A$52="","",Indicadores!K52)</f>
      </c>
      <c r="E78" s="16">
        <f>IF(Indicadores!$A$52="","",Indicadores!H52)</f>
      </c>
      <c r="F78" s="32">
        <f>IF(Indicadores!$A$52="","",Indicadores!E52)</f>
      </c>
      <c r="G78" s="30">
        <f>IF(Indicadores!$A$52="","",Indicadores!B52)</f>
      </c>
      <c r="H78" s="16">
        <f>IF(Indicadores!$A$52="","",Indicadores!G52)</f>
      </c>
      <c r="I78" s="33">
        <f>IF(Indicadores!$A$52="","",Indicadores!F52)</f>
      </c>
    </row>
    <row r="79" spans="2:9" x14ac:dyDescent="0.25">
      <c r="B79" s="29">
        <f>IF(Indicadores!$A$53="","",Indicadores!A53)</f>
      </c>
      <c r="C79" s="16">
        <f>IF(Indicadores!$A$53="","",Indicadores!J53)</f>
      </c>
      <c r="D79" s="30">
        <f>IF(Indicadores!$A$53="","",Indicadores!K53)</f>
      </c>
      <c r="E79" s="16">
        <f>IF(Indicadores!$A$53="","",Indicadores!H53)</f>
      </c>
      <c r="F79" s="32">
        <f>IF(Indicadores!$A$53="","",Indicadores!E53)</f>
      </c>
      <c r="G79" s="30">
        <f>IF(Indicadores!$A$53="","",Indicadores!B53)</f>
      </c>
      <c r="H79" s="16">
        <f>IF(Indicadores!$A$53="","",Indicadores!G53)</f>
      </c>
      <c r="I79" s="33">
        <f>IF(Indicadores!$A$53="","",Indicadores!F53)</f>
      </c>
    </row>
    <row r="80" spans="2:9" x14ac:dyDescent="0.25">
      <c r="B80" s="29">
        <f>IF(Indicadores!$A$54="","",Indicadores!A54)</f>
      </c>
      <c r="C80" s="16">
        <f>IF(Indicadores!$A$54="","",Indicadores!J54)</f>
      </c>
      <c r="D80" s="30">
        <f>IF(Indicadores!$A$54="","",Indicadores!K54)</f>
      </c>
      <c r="E80" s="16">
        <f>IF(Indicadores!$A$54="","",Indicadores!H54)</f>
      </c>
      <c r="F80" s="32">
        <f>IF(Indicadores!$A$54="","",Indicadores!E54)</f>
      </c>
      <c r="G80" s="30">
        <f>IF(Indicadores!$A$54="","",Indicadores!B54)</f>
      </c>
      <c r="H80" s="16">
        <f>IF(Indicadores!$A$54="","",Indicadores!G54)</f>
      </c>
      <c r="I80" s="33">
        <f>IF(Indicadores!$A$54="","",Indicadores!F54)</f>
      </c>
    </row>
  </sheetData>
  <sheetProtection sheet="1" formatColumns="0" formatRows="0" autoFilter="0"/>
  <conditionalFormatting sqref="B5:I81">
    <cfRule type="containsText" dxfId="5" priority="1">
      <formula>NOT(ISERROR(SEARCH("falta",B5)))</formula>
    </cfRule>
  </conditionalFormatting>
  <pageSetup paperSize="1" orientation="portrait"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Instrucciones</vt:lpstr>
      <vt:lpstr>Registro de gastos</vt:lpstr>
      <vt:lpstr>Registro de ingresos</vt:lpstr>
      <vt:lpstr>Control de lotes</vt:lpstr>
      <vt:lpstr>Indicadores</vt:lpstr>
      <vt:lpstr>Resumen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AgroAcademy</dc:creator>
  <dc:title>Herramienta de gestión y rentabilidad porcina</dc:title>
  <dc:subject/>
  <dc:description/>
  <cp:keywords/>
  <cp:category/>
  <cp:lastModifiedBy>Unknown</cp:lastModifiedBy>
  <dcterms:created xsi:type="dcterms:W3CDTF">2026-10-04T22:18:00Z</dcterms:created>
  <dcterms:modified xsi:type="dcterms:W3CDTF">2026-10-04T22:18:00Z</dcterms:modified>
</cp:coreProperties>
</file>