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Calculadora" state="visible" r:id="rId5"/>
  </sheets>
  <calcPr calcId="171027" fullCalcOnLoad="1"/>
</workbook>
</file>

<file path=xl/sharedStrings.xml><?xml version="1.0" encoding="utf-8"?>
<sst xmlns="http://schemas.openxmlformats.org/spreadsheetml/2006/main" count="37" uniqueCount="36">
  <si>
    <t>Calculadora básica del lote · Pollos de engorde</t>
  </si>
  <si>
    <t>Curso «Pollos de engorde: manejo y producción rentable» · AgroAcademy. Importes en pesos dominicanos (RD$).</t>
  </si>
  <si>
    <t/>
  </si>
  <si>
    <t>1. Abra la hoja «Calculadora» y escriba los datos de su lote en las celdas BLANCAS.</t>
  </si>
  <si>
    <t>2. Las celdas GRISES se calculan solas: costo total, costo por pollo, kg producidos, costo por kg, ingreso, beneficio y margen.</t>
  </si>
  <si>
    <t>3. Las celdas AMARILLAS traen un EJEMPLO ILUSTRATIVO (el lote del módulo 7). Sustituya esos valores por los costos y precios reales de su granja.</t>
  </si>
  <si>
    <t>4. Si falta un dato esencial, la celda dice «falta dato» en rojo en vez de inventar un número.</t>
  </si>
  <si>
    <t>5. Las fórmulas están protegidas sin contraseña: Revisar → Desproteger hoja, si quiere adaptarlas.</t>
  </si>
  <si>
    <t>Fórmulas: costo total = pollitos × costo por pollito + alimento × costo/kg + otros costos · pollos vendidos = pollitos − mortalidad</t>
  </si>
  <si>
    <t>kg vendidos = pollos vendidos × peso promedio · kg producidos = kg vendidos − kg que entraron · costo por pollo = costo total ÷ pollos vendidos</t>
  </si>
  <si>
    <t>costo por kg = costo total ÷ kg vendidos · ingreso = kg vendidos × precio · beneficio = ingreso − costo total · margen = beneficio ÷ ingreso</t>
  </si>
  <si>
    <t>Calculadora básica del lote</t>
  </si>
  <si>
    <t>Blanco = se escribe · Gris = se calcula solo · Amarillo = EJEMPLO ILUSTRATIVO: sustitúyalo por sus datos</t>
  </si>
  <si>
    <t>Datos del lote</t>
  </si>
  <si>
    <t>Número de pollitos</t>
  </si>
  <si>
    <t>Costo por pollito (RD$)</t>
  </si>
  <si>
    <t>Alimento consumido (kg)</t>
  </si>
  <si>
    <t>Costo del alimento (RD$/kg)</t>
  </si>
  <si>
    <t>Mortalidad (%)</t>
  </si>
  <si>
    <t>Escriba el porcentaje, por ejemplo 4 %</t>
  </si>
  <si>
    <t>Peso promedio de venta (kg)</t>
  </si>
  <si>
    <t>Peso del pollito al llegar (kg)</t>
  </si>
  <si>
    <t>Precio de venta (RD$/kg vivo)</t>
  </si>
  <si>
    <t>Otros costos del lote (RD$)</t>
  </si>
  <si>
    <t>Resultados</t>
  </si>
  <si>
    <t>Pollos vendidos</t>
  </si>
  <si>
    <t>Costo total del lote</t>
  </si>
  <si>
    <t>Costo por pollo vendido</t>
  </si>
  <si>
    <t>Kg vendidos</t>
  </si>
  <si>
    <t>Kg producidos</t>
  </si>
  <si>
    <t>Costo por kg</t>
  </si>
  <si>
    <t>Precio mínimo por kg para recuperar la inversión</t>
  </si>
  <si>
    <t>Ingreso</t>
  </si>
  <si>
    <t>Beneficio</t>
  </si>
  <si>
    <t>Margen</t>
  </si>
  <si>
    <t>Conversión alimenticia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</si>
</sst>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&quot;RD$&quot; #,##0.00"/>
    <numFmt numFmtId="165" formatCode="0.0%"/>
    <numFmt numFmtId="166" formatCode="0.000"/>
    <numFmt numFmtId="167" formatCode="&quot;RD$&quot; #,##0"/>
    <numFmt numFmtId="168" formatCode="#,##0.0"/>
  </numFmts>
  <fonts count="6" x14ac:knownFonts="1">
    <font>
      <color theme="1"/>
      <family val="2"/>
      <scheme val="minor"/>
      <sz val="11"/>
      <name val="Calibri"/>
    </font>
    <font>
      <b/>
      <color rgb="FF7C2D12"/>
      <sz val="18"/>
    </font>
    <font>
      <i/>
      <color rgb="FF52606D"/>
    </font>
    <font>
      <b/>
      <color rgb="FF7C2D12"/>
      <sz val="16"/>
    </font>
    <font>
      <b/>
      <color rgb="FFC2410C"/>
      <sz val="10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C2410C"/>
      </patternFill>
    </fill>
    <fill>
      <patternFill patternType="solid">
        <fgColor rgb="FFFFF2CC"/>
      </patternFill>
    </fill>
    <fill>
      <patternFill patternType="solid">
        <fgColor rgb="FFEDEFF2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0" fillId="0" borderId="1" xfId="0" applyBorder="1"/>
    <xf numFmtId="3" fontId="0" fillId="3" borderId="1" xfId="0" applyNumberFormat="1" applyFill="1" applyBorder="1" applyProtection="1">
      <protection locked="0"/>
    </xf>
    <xf numFmtId="164" fontId="0" fillId="3" borderId="1" xfId="0" applyNumberFormat="1" applyFill="1" applyBorder="1" applyProtection="1">
      <protection locked="0"/>
    </xf>
    <xf numFmtId="165" fontId="0" fillId="3" borderId="1" xfId="0" applyNumberFormat="1" applyFill="1" applyBorder="1" applyProtection="1">
      <protection locked="0"/>
    </xf>
    <xf numFmtId="0" fontId="2" fillId="0" borderId="0" xfId="0" applyFont="1"/>
    <xf numFmtId="2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7" fontId="0" fillId="3" borderId="1" xfId="0" applyNumberFormat="1" applyFill="1" applyBorder="1" applyProtection="1">
      <protection locked="0"/>
    </xf>
    <xf numFmtId="3" fontId="0" fillId="4" borderId="1" xfId="0" applyNumberFormat="1" applyFill="1" applyBorder="1" applyProtection="1"/>
    <xf numFmtId="167" fontId="0" fillId="4" borderId="1" xfId="0" applyNumberFormat="1" applyFill="1" applyBorder="1" applyProtection="1"/>
    <xf numFmtId="164" fontId="0" fillId="4" borderId="1" xfId="0" applyNumberFormat="1" applyFill="1" applyBorder="1" applyProtection="1"/>
    <xf numFmtId="168" fontId="0" fillId="4" borderId="1" xfId="0" applyNumberFormat="1" applyFill="1" applyBorder="1" applyProtection="1"/>
    <xf numFmtId="165" fontId="0" fillId="4" borderId="1" xfId="0" applyNumberFormat="1" applyFill="1" applyBorder="1" applyProtection="1"/>
    <xf numFmtId="2" fontId="0" fillId="4" borderId="1" xfId="0" applyNumberFormat="1" applyFill="1" applyBorder="1" applyProtection="1"/>
  </cellXfs>
  <cellStyles count="1">
    <cellStyle name="Normal" xfId="0" builtinId="0"/>
  </cellStyles>
  <dxfs count="1">
    <dxf>
      <font>
        <b/>
        <color rgb="FFC4544A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2410C"/>
  </sheetPr>
  <dimension ref="B1:B12"/>
  <sheetFormatPr defaultRowHeight="15" outlineLevelRow="0" outlineLevelCol="0" x14ac:dyDescent="55"/>
  <cols>
    <col min="1" max="1" width="4" customWidth="1"/>
    <col min="2" max="2" width="110" customWidth="1"/>
  </cols>
  <sheetData>
    <row r="1" spans="2:2" x14ac:dyDescent="0.25">
      <c r="B1" s="1" t="s">
        <v>0</v>
      </c>
    </row>
    <row r="2" spans="2:2" x14ac:dyDescent="0.25">
      <c r="B2" s="2" t="s">
        <v>1</v>
      </c>
    </row>
    <row r="3" spans="2:2" x14ac:dyDescent="0.25">
      <c r="B3" s="3" t="s">
        <v>2</v>
      </c>
    </row>
    <row r="4" spans="2:2" x14ac:dyDescent="0.25">
      <c r="B4" s="3" t="s">
        <v>3</v>
      </c>
    </row>
    <row r="5" spans="2:2" x14ac:dyDescent="0.25">
      <c r="B5" s="3" t="s">
        <v>4</v>
      </c>
    </row>
    <row r="6" spans="2:2" x14ac:dyDescent="0.25">
      <c r="B6" s="3" t="s">
        <v>5</v>
      </c>
    </row>
    <row r="7" spans="2:2" x14ac:dyDescent="0.25">
      <c r="B7" s="3" t="s">
        <v>6</v>
      </c>
    </row>
    <row r="8" spans="2:2" x14ac:dyDescent="0.25">
      <c r="B8" s="3" t="s">
        <v>7</v>
      </c>
    </row>
    <row r="9" spans="2:2" x14ac:dyDescent="0.25">
      <c r="B9" s="3" t="s">
        <v>2</v>
      </c>
    </row>
    <row r="10" spans="2:2" x14ac:dyDescent="0.25">
      <c r="B10" s="3" t="s">
        <v>8</v>
      </c>
    </row>
    <row r="11" spans="2:2" x14ac:dyDescent="0.25">
      <c r="B11" s="3" t="s">
        <v>9</v>
      </c>
    </row>
    <row r="12" spans="2:2" x14ac:dyDescent="0.25">
      <c r="B12" s="3" t="s">
        <v>10</v>
      </c>
    </row>
  </sheetData>
  <sheetProtection sheet="1" formatColumns="0" formatRows="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7D4F"/>
  </sheetPr>
  <dimension ref="A1:C25"/>
  <sheetFormatPr defaultRowHeight="15" outlineLevelRow="0" outlineLevelCol="0" x14ac:dyDescent="55"/>
  <cols>
    <col min="1" max="1" width="40" customWidth="1"/>
    <col min="2" max="2" width="20" customWidth="1"/>
    <col min="3" max="3" width="52" customWidth="1"/>
  </cols>
  <sheetData>
    <row r="1" spans="1:1" x14ac:dyDescent="0.25">
      <c r="A1" s="4" t="s">
        <v>11</v>
      </c>
    </row>
    <row r="2" spans="1:1" x14ac:dyDescent="0.25">
      <c r="A2" s="5" t="s">
        <v>12</v>
      </c>
    </row>
    <row r="4" spans="1:2" x14ac:dyDescent="0.25">
      <c r="A4" s="6" t="s">
        <v>13</v>
      </c>
      <c r="B4" s="6"/>
    </row>
    <row r="5" spans="1:2" x14ac:dyDescent="0.25">
      <c r="A5" s="7" t="s">
        <v>14</v>
      </c>
      <c r="B5" s="8">
        <v>500</v>
      </c>
    </row>
    <row r="6" spans="1:2" x14ac:dyDescent="0.25">
      <c r="A6" s="7" t="s">
        <v>15</v>
      </c>
      <c r="B6" s="9">
        <v>60</v>
      </c>
    </row>
    <row r="7" spans="1:2" x14ac:dyDescent="0.25">
      <c r="A7" s="7" t="s">
        <v>16</v>
      </c>
      <c r="B7" s="8">
        <v>2000</v>
      </c>
    </row>
    <row r="8" spans="1:2" x14ac:dyDescent="0.25">
      <c r="A8" s="7" t="s">
        <v>17</v>
      </c>
      <c r="B8" s="9">
        <v>34</v>
      </c>
    </row>
    <row r="9" spans="1:3" x14ac:dyDescent="0.25">
      <c r="A9" s="7" t="s">
        <v>18</v>
      </c>
      <c r="B9" s="10">
        <v>0.04</v>
      </c>
      <c r="C9" s="11" t="s">
        <v>19</v>
      </c>
    </row>
    <row r="10" spans="1:2" x14ac:dyDescent="0.25">
      <c r="A10" s="7" t="s">
        <v>20</v>
      </c>
      <c r="B10" s="12">
        <v>2.3</v>
      </c>
    </row>
    <row r="11" spans="1:2" x14ac:dyDescent="0.25">
      <c r="A11" s="7" t="s">
        <v>21</v>
      </c>
      <c r="B11" s="13">
        <v>0.04</v>
      </c>
    </row>
    <row r="12" spans="1:2" x14ac:dyDescent="0.25">
      <c r="A12" s="7" t="s">
        <v>22</v>
      </c>
      <c r="B12" s="9">
        <v>120</v>
      </c>
    </row>
    <row r="13" spans="1:2" x14ac:dyDescent="0.25">
      <c r="A13" s="7" t="s">
        <v>23</v>
      </c>
      <c r="B13" s="14">
        <v>22000</v>
      </c>
    </row>
    <row r="15" spans="1:2" x14ac:dyDescent="0.25">
      <c r="A15" s="6" t="s">
        <v>24</v>
      </c>
      <c r="B15" s="6"/>
    </row>
    <row r="16" spans="1:2" x14ac:dyDescent="0.25">
      <c r="A16" s="7" t="s">
        <v>25</v>
      </c>
      <c r="B16" s="15">
        <f>IF(B5="","falta dato",ROUND(B5*(1-IF(B9="",0,B9)),0))</f>
      </c>
    </row>
    <row r="17" spans="1:2" x14ac:dyDescent="0.25">
      <c r="A17" s="7" t="s">
        <v>26</v>
      </c>
      <c r="B17" s="16">
        <f>IF(OR(B5="",B6="",B7="",B8=""),"falta dato",B5*B6+B7*B8+IF(B13="",0,B13))</f>
      </c>
    </row>
    <row r="18" spans="1:2" x14ac:dyDescent="0.25">
      <c r="A18" s="7" t="s">
        <v>27</v>
      </c>
      <c r="B18" s="17">
        <f>IF(OR(NOT(ISNUMBER(B16)),NOT(ISNUMBER(B17))),"falta dato",IF(B16&lt;=0,"falta dato",B17/B16))</f>
      </c>
    </row>
    <row r="19" spans="1:2" x14ac:dyDescent="0.25">
      <c r="A19" s="7" t="s">
        <v>28</v>
      </c>
      <c r="B19" s="18">
        <f>IF(OR(NOT(ISNUMBER(B16)),B10=""),"falta dato",B16*B10)</f>
      </c>
    </row>
    <row r="20" spans="1:2" x14ac:dyDescent="0.25">
      <c r="A20" s="7" t="s">
        <v>29</v>
      </c>
      <c r="B20" s="18">
        <f>IF(OR(NOT(ISNUMBER(B19)),B5="",B11=""),"falta dato",B19-B5*B11)</f>
      </c>
    </row>
    <row r="21" spans="1:3" x14ac:dyDescent="0.25">
      <c r="A21" s="7" t="s">
        <v>30</v>
      </c>
      <c r="B21" s="17">
        <f>IF(OR(NOT(ISNUMBER(B17)),NOT(ISNUMBER(B19))),"falta dato",IF(B19&lt;=0,"falta dato",B17/B19))</f>
      </c>
      <c r="C21" s="11" t="s">
        <v>31</v>
      </c>
    </row>
    <row r="22" spans="1:2" x14ac:dyDescent="0.25">
      <c r="A22" s="7" t="s">
        <v>32</v>
      </c>
      <c r="B22" s="16">
        <f>IF(OR(NOT(ISNUMBER(B19)),B12=""),"falta dato",B19*B12)</f>
      </c>
    </row>
    <row r="23" spans="1:2" x14ac:dyDescent="0.25">
      <c r="A23" s="7" t="s">
        <v>33</v>
      </c>
      <c r="B23" s="16">
        <f>IF(OR(NOT(ISNUMBER(B22)),NOT(ISNUMBER(B17))),"falta dato",B22-B17)</f>
      </c>
    </row>
    <row r="24" spans="1:2" x14ac:dyDescent="0.25">
      <c r="A24" s="7" t="s">
        <v>34</v>
      </c>
      <c r="B24" s="19">
        <f>IF(NOT(ISNUMBER(B23)),"falta dato",IF(B22&lt;=0,"falta dato",B23/B22))</f>
      </c>
    </row>
    <row r="25" spans="1:2" x14ac:dyDescent="0.25">
      <c r="A25" s="7" t="s">
        <v>35</v>
      </c>
      <c r="B25" s="20">
        <f>IF(OR(B7="",NOT(ISNUMBER(B20))),"falta dato",IF(B20&lt;=0,"falta dato",B7/B20))</f>
      </c>
    </row>
  </sheetData>
  <sheetProtection sheet="1" formatColumns="0" formatRows="0"/>
  <conditionalFormatting sqref="B16:B25">
    <cfRule type="containsText" dxfId="0" priority="1">
      <formula>NOT(ISERROR(SEARCH("falta",B16)))</formula>
    </cfRule>
  </conditionalFormatting>
  <dataValidations count="2">
    <dataValidation type="decimal" operator="greaterThanOrEqual" allowBlank="1" showErrorMessage="1" errorTitle="Número" error="No puede ser negativo." sqref="B5:B13">
      <formula1>0</formula1>
    </dataValidation>
    <dataValidation type="decimal" allowBlank="1" showErrorMessage="1" errorTitle="Mortalidad" error="Escriba un porcentaje entre 0 % y 100 %." sqref="B9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Instrucciones</vt:lpstr>
      <vt:lpstr>Calculadora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AgroAcademy</dc:creator>
  <dc:title>Calculadora básica del lote · Pollos de engorde</dc:title>
  <dc:subject/>
  <dc:description/>
  <cp:keywords/>
  <cp:category/>
  <cp:lastModifiedBy>Unknown</cp:lastModifiedBy>
  <dcterms:created xsi:type="dcterms:W3CDTF">2026-10-05T01:13:54Z</dcterms:created>
  <dcterms:modified xsi:type="dcterms:W3CDTF">2026-10-05T01:13:54Z</dcterms:modified>
</cp:coreProperties>
</file>