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alculadora" state="visible" r:id="rId5"/>
  </sheets>
  <calcPr calcId="171027" fullCalcOnLoad="1"/>
</workbook>
</file>

<file path=xl/sharedStrings.xml><?xml version="1.0" encoding="utf-8"?>
<sst xmlns="http://schemas.openxmlformats.org/spreadsheetml/2006/main" count="59" uniqueCount="56">
  <si>
    <t>Calculadora básica de rentabilidad ganadera</t>
  </si>
  <si>
    <t>Curso «Ganadería bovina: manejo, alimentación y rentabilidad» · AgroAcademy. Importes en pesos dominicanos (RD$).</t>
  </si>
  <si>
    <t/>
  </si>
  <si>
    <t>1. Abra la hoja «Calculadora» y escriba los datos de su finca en las celdas BLANCAS.</t>
  </si>
  <si>
    <t>2. Las celdas GRISES se calculan solas: costo total, costo por animal, costo por kg, ingreso (animales y leche), beneficio, margen e indicadores reproductivos.</t>
  </si>
  <si>
    <t>3. Las celdas AMARILLAS traen un EJEMPLO ILUSTRATIVO (el engorde de 20 novillos del módulo 7). Sustituya esos valores por los costos y precios reales de su finca.</t>
  </si>
  <si>
    <t>4. Si no vende leche, deje los litros en 0. Si falta un dato esencial, la celda dice «falta dato» en rojo en vez de inventar un número.</t>
  </si>
  <si>
    <t>5. Las fórmulas están protegidas sin contraseña: Revisar → Desproteger hoja, si quiere adaptarlas.</t>
  </si>
  <si>
    <t>Fórmulas: costo total = compra + alimentación + sanidad + mano de obra + otros · costo por animal = costo total ÷ animales</t>
  </si>
  <si>
    <t>kg vendidos = animales × peso de venta · kg producidos = kg vendidos − animales × peso de compra</t>
  </si>
  <si>
    <t>costo por kg producido = (costo total − compra) ÷ kg producidos · ingreso = kg vendidos × precio + litros × precio de la leche</t>
  </si>
  <si>
    <t>beneficio = ingreso − costo total · margen = beneficio ÷ ingreso · preñez = preñadas ÷ vacas en servicio · nacimientos = terneros nacidos ÷ vacas del hato</t>
  </si>
  <si>
    <t>Los resultados son orientativos: dependen de los datos que escriba. Las decisiones sanitarias y de alimentación se toman con su veterinario o técnico.</t>
  </si>
  <si>
    <t>Blanco = se escribe · Gris = se calcula solo · Amarillo = EJEMPLO ILUSTRATIVO: sustitúyalo por sus datos</t>
  </si>
  <si>
    <t>Datos de la finca o del periodo</t>
  </si>
  <si>
    <t>Número de animales vendidos</t>
  </si>
  <si>
    <t>Compra de animales (RD$)</t>
  </si>
  <si>
    <t>Alimentación: pasto, suplementos y minerales (RD$)</t>
  </si>
  <si>
    <t>Incluya pastoreo, suplementos y sal mineral</t>
  </si>
  <si>
    <t>Sanidad (RD$)</t>
  </si>
  <si>
    <t>Mano de obra (RD$)</t>
  </si>
  <si>
    <t>Otros costos (RD$)</t>
  </si>
  <si>
    <t>Peso de venta por animal (kg)</t>
  </si>
  <si>
    <t>Peso de compra por animal (kg)</t>
  </si>
  <si>
    <t>Precio de venta (RD$/kg en pie)</t>
  </si>
  <si>
    <t>Leche vendida en el periodo (litros)</t>
  </si>
  <si>
    <t>Si no vende leche, deje 0</t>
  </si>
  <si>
    <t>Precio de la leche (RD$/litro)</t>
  </si>
  <si>
    <t>Resultados</t>
  </si>
  <si>
    <t>Costo total</t>
  </si>
  <si>
    <t>Costo por animal</t>
  </si>
  <si>
    <t>Kg vendidos</t>
  </si>
  <si>
    <t>Kg producidos en la finca</t>
  </si>
  <si>
    <t>Costo por kg vendido</t>
  </si>
  <si>
    <t>Todo incluido, también la compra de los animales</t>
  </si>
  <si>
    <t>Costo por kg producido</t>
  </si>
  <si>
    <t>Lo que le costó a la finca cada kilo que agregó</t>
  </si>
  <si>
    <t>Ingreso por animales</t>
  </si>
  <si>
    <t>Ingreso por leche</t>
  </si>
  <si>
    <t>Ingreso total</t>
  </si>
  <si>
    <t>Beneficio</t>
  </si>
  <si>
    <t>Margen</t>
  </si>
  <si>
    <t>Precio mínimo por kg para no perder</t>
  </si>
  <si>
    <t>Por debajo de este precio, la finca pierde dinero</t>
  </si>
  <si>
    <t>Indicadores reproductivos</t>
  </si>
  <si>
    <t>Vacas en servicio</t>
  </si>
  <si>
    <t>Vacas preñadas</t>
  </si>
  <si>
    <t>Vacas del hato (en el año)</t>
  </si>
  <si>
    <t>Terneros nacidos (en el año)</t>
  </si>
  <si>
    <t>Terneros muertos</t>
  </si>
  <si>
    <t>Resultados reproductivos</t>
  </si>
  <si>
    <t>Porcentaje de preñez</t>
  </si>
  <si>
    <t>Preñadas ÷ vacas en servicio</t>
  </si>
  <si>
    <t>Porcentaje de nacimientos</t>
  </si>
  <si>
    <t>Mortalidad de terneros</t>
  </si>
  <si>
    <t>Terneros muertos ÷ terneros nacidos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</si>
</sst>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D$&quot; #,##0"/>
    <numFmt numFmtId="165" formatCode="#,##0.0"/>
    <numFmt numFmtId="166" formatCode="&quot;RD$&quot; #,##0.00"/>
    <numFmt numFmtId="167" formatCode="0.0%"/>
  </numFmts>
  <fonts count="6" x14ac:knownFonts="1">
    <font>
      <color theme="1"/>
      <family val="2"/>
      <scheme val="minor"/>
      <sz val="11"/>
      <name val="Calibri"/>
    </font>
    <font>
      <b/>
      <color rgb="FF33470F"/>
      <sz val="18"/>
    </font>
    <font>
      <i/>
      <color rgb="FF52606D"/>
    </font>
    <font>
      <b/>
      <color rgb="FF33470F"/>
      <sz val="16"/>
    </font>
    <font>
      <b/>
      <color rgb="FF5B7F1E"/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5B7F1E"/>
      </patternFill>
    </fill>
    <fill>
      <patternFill patternType="solid">
        <fgColor rgb="FFFFF2CC"/>
      </patternFill>
    </fill>
    <fill>
      <patternFill patternType="solid">
        <fgColor rgb="FFEDEFF2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0" borderId="1" xfId="0" applyBorder="1"/>
    <xf numFmtId="3" fontId="0" fillId="3" borderId="1" xfId="0" applyNumberFormat="1" applyFill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0" fontId="2" fillId="0" borderId="0" xfId="0" applyFont="1"/>
    <xf numFmtId="165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4" fontId="0" fillId="4" borderId="1" xfId="0" applyNumberFormat="1" applyFill="1" applyBorder="1" applyProtection="1"/>
    <xf numFmtId="165" fontId="0" fillId="4" borderId="1" xfId="0" applyNumberFormat="1" applyFill="1" applyBorder="1" applyProtection="1"/>
    <xf numFmtId="166" fontId="0" fillId="4" borderId="1" xfId="0" applyNumberFormat="1" applyFill="1" applyBorder="1" applyProtection="1"/>
    <xf numFmtId="167" fontId="0" fillId="4" borderId="1" xfId="0" applyNumberFormat="1" applyFill="1" applyBorder="1" applyProtection="1"/>
  </cellXfs>
  <cellStyles count="1">
    <cellStyle name="Normal" xfId="0" builtinId="0"/>
  </cellStyles>
  <dxfs count="2">
    <dxf>
      <font>
        <b/>
        <color rgb="FFC4544A"/>
      </font>
    </dxf>
    <dxf>
      <font>
        <b/>
        <color rgb="FFC4544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7F1E"/>
  </sheetPr>
  <dimension ref="B1:B15"/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3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6</v>
      </c>
    </row>
    <row r="8" spans="2:2" x14ac:dyDescent="0.25">
      <c r="B8" s="3" t="s">
        <v>7</v>
      </c>
    </row>
    <row r="9" spans="2:2" x14ac:dyDescent="0.25">
      <c r="B9" s="3" t="s">
        <v>2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s="3" t="s">
        <v>10</v>
      </c>
    </row>
    <row r="13" spans="2:2" x14ac:dyDescent="0.25">
      <c r="B13" s="3" t="s">
        <v>11</v>
      </c>
    </row>
    <row r="14" spans="2:2" x14ac:dyDescent="0.25">
      <c r="B14" s="3" t="s">
        <v>2</v>
      </c>
    </row>
    <row r="15" spans="2:2" x14ac:dyDescent="0.25">
      <c r="B15" s="2" t="s">
        <v>12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D4F"/>
  </sheetPr>
  <dimension ref="A1:C41"/>
  <sheetFormatPr defaultRowHeight="15" outlineLevelRow="0" outlineLevelCol="0" x14ac:dyDescent="55"/>
  <cols>
    <col min="1" max="1" width="48" customWidth="1"/>
    <col min="2" max="2" width="20" customWidth="1"/>
    <col min="3" max="3" width="56" customWidth="1"/>
  </cols>
  <sheetData>
    <row r="1" spans="1:1" x14ac:dyDescent="0.25">
      <c r="A1" s="4" t="s">
        <v>0</v>
      </c>
    </row>
    <row r="2" spans="1:1" x14ac:dyDescent="0.25">
      <c r="A2" s="5" t="s">
        <v>13</v>
      </c>
    </row>
    <row r="4" spans="1:2" x14ac:dyDescent="0.25">
      <c r="A4" s="6" t="s">
        <v>14</v>
      </c>
      <c r="B4" s="6"/>
    </row>
    <row r="5" spans="1:2" x14ac:dyDescent="0.25">
      <c r="A5" s="7" t="s">
        <v>15</v>
      </c>
      <c r="B5" s="8">
        <v>20</v>
      </c>
    </row>
    <row r="6" spans="1:2" x14ac:dyDescent="0.25">
      <c r="A6" s="7" t="s">
        <v>16</v>
      </c>
      <c r="B6" s="9">
        <v>550000</v>
      </c>
    </row>
    <row r="7" spans="1:3" x14ac:dyDescent="0.25">
      <c r="A7" s="7" t="s">
        <v>17</v>
      </c>
      <c r="B7" s="9">
        <v>168000</v>
      </c>
      <c r="C7" s="10" t="s">
        <v>18</v>
      </c>
    </row>
    <row r="8" spans="1:2" x14ac:dyDescent="0.25">
      <c r="A8" s="7" t="s">
        <v>19</v>
      </c>
      <c r="B8" s="9">
        <v>15000</v>
      </c>
    </row>
    <row r="9" spans="1:2" x14ac:dyDescent="0.25">
      <c r="A9" s="7" t="s">
        <v>20</v>
      </c>
      <c r="B9" s="9">
        <v>54000</v>
      </c>
    </row>
    <row r="10" spans="1:2" x14ac:dyDescent="0.25">
      <c r="A10" s="7" t="s">
        <v>21</v>
      </c>
      <c r="B10" s="9">
        <v>43000</v>
      </c>
    </row>
    <row r="11" spans="1:2" x14ac:dyDescent="0.25">
      <c r="A11" s="7" t="s">
        <v>22</v>
      </c>
      <c r="B11" s="11">
        <v>358</v>
      </c>
    </row>
    <row r="12" spans="1:2" x14ac:dyDescent="0.25">
      <c r="A12" s="7" t="s">
        <v>23</v>
      </c>
      <c r="B12" s="11">
        <v>250</v>
      </c>
    </row>
    <row r="13" spans="1:2" x14ac:dyDescent="0.25">
      <c r="A13" s="7" t="s">
        <v>24</v>
      </c>
      <c r="B13" s="12">
        <v>120</v>
      </c>
    </row>
    <row r="14" spans="1:3" x14ac:dyDescent="0.25">
      <c r="A14" s="7" t="s">
        <v>25</v>
      </c>
      <c r="B14" s="8">
        <v>0</v>
      </c>
      <c r="C14" s="10" t="s">
        <v>26</v>
      </c>
    </row>
    <row r="15" spans="1:2" x14ac:dyDescent="0.25">
      <c r="A15" s="7" t="s">
        <v>27</v>
      </c>
      <c r="B15" s="12">
        <v>0</v>
      </c>
    </row>
    <row r="17" spans="1:2" x14ac:dyDescent="0.25">
      <c r="A17" s="6" t="s">
        <v>28</v>
      </c>
      <c r="B17" s="6"/>
    </row>
    <row r="18" spans="1:2" x14ac:dyDescent="0.25">
      <c r="A18" s="7" t="s">
        <v>29</v>
      </c>
      <c r="B18" s="13">
        <f>IF(B5="","falta dato",SUM(B6:B10))</f>
      </c>
    </row>
    <row r="19" spans="1:2" x14ac:dyDescent="0.25">
      <c r="A19" s="7" t="s">
        <v>30</v>
      </c>
      <c r="B19" s="13">
        <f>IF(NOT(ISNUMBER(B18)),"falta dato",IF(B5&lt;=0,"falta dato",B18/B5))</f>
      </c>
    </row>
    <row r="20" spans="1:2" x14ac:dyDescent="0.25">
      <c r="A20" s="7" t="s">
        <v>31</v>
      </c>
      <c r="B20" s="14">
        <f>IF(OR(B5="",B11=""),"falta dato",B5*B11)</f>
      </c>
    </row>
    <row r="21" spans="1:2" x14ac:dyDescent="0.25">
      <c r="A21" s="7" t="s">
        <v>32</v>
      </c>
      <c r="B21" s="14">
        <f>IF(OR(NOT(ISNUMBER(B20)),B12=""),"falta dato",B20-B5*B12)</f>
      </c>
    </row>
    <row r="22" spans="1:3" x14ac:dyDescent="0.25">
      <c r="A22" s="7" t="s">
        <v>33</v>
      </c>
      <c r="B22" s="15">
        <f>IF(OR(NOT(ISNUMBER(B18)),NOT(ISNUMBER(B20))),"falta dato",IF(B20&lt;=0,"falta dato",B18/B20))</f>
      </c>
      <c r="C22" s="10" t="s">
        <v>34</v>
      </c>
    </row>
    <row r="23" spans="1:3" x14ac:dyDescent="0.25">
      <c r="A23" s="7" t="s">
        <v>35</v>
      </c>
      <c r="B23" s="15">
        <f>IF(NOT(ISNUMBER(B21)),"falta dato",IF(B21&lt;=0,"falta dato",(B18-IF(B6="",0,B6))/B21))</f>
      </c>
      <c r="C23" s="10" t="s">
        <v>36</v>
      </c>
    </row>
    <row r="24" spans="1:2" x14ac:dyDescent="0.25">
      <c r="A24" s="7" t="s">
        <v>37</v>
      </c>
      <c r="B24" s="13">
        <f>IF(OR(NOT(ISNUMBER(B20)),B13=""),"falta dato",B20*B13)</f>
      </c>
    </row>
    <row r="25" spans="1:2" x14ac:dyDescent="0.25">
      <c r="A25" s="7" t="s">
        <v>38</v>
      </c>
      <c r="B25" s="13">
        <f>IF(OR(B14="",B15=""),0,B14*B15)</f>
      </c>
    </row>
    <row r="26" spans="1:2" x14ac:dyDescent="0.25">
      <c r="A26" s="7" t="s">
        <v>39</v>
      </c>
      <c r="B26" s="13">
        <f>IF(NOT(ISNUMBER(B24)),"falta dato",B24+B25)</f>
      </c>
    </row>
    <row r="27" spans="1:2" x14ac:dyDescent="0.25">
      <c r="A27" s="7" t="s">
        <v>40</v>
      </c>
      <c r="B27" s="13">
        <f>IF(OR(NOT(ISNUMBER(B26)),NOT(ISNUMBER(B18))),"falta dato",B26-B18)</f>
      </c>
    </row>
    <row r="28" spans="1:2" x14ac:dyDescent="0.25">
      <c r="A28" s="7" t="s">
        <v>41</v>
      </c>
      <c r="B28" s="16">
        <f>IF(NOT(ISNUMBER(B27)),"falta dato",IF(B26&lt;=0,"falta dato",B27/B26))</f>
      </c>
    </row>
    <row r="29" spans="1:3" x14ac:dyDescent="0.25">
      <c r="A29" s="7" t="s">
        <v>42</v>
      </c>
      <c r="B29" s="15">
        <f>IF(NOT(ISNUMBER(B22)),"falta dato",(B18-B25)/B20)</f>
      </c>
      <c r="C29" s="10" t="s">
        <v>43</v>
      </c>
    </row>
    <row r="31" spans="1:2" x14ac:dyDescent="0.25">
      <c r="A31" s="6" t="s">
        <v>44</v>
      </c>
      <c r="B31" s="6"/>
    </row>
    <row r="32" spans="1:2" x14ac:dyDescent="0.25">
      <c r="A32" s="7" t="s">
        <v>45</v>
      </c>
      <c r="B32" s="8">
        <v>40</v>
      </c>
    </row>
    <row r="33" spans="1:2" x14ac:dyDescent="0.25">
      <c r="A33" s="7" t="s">
        <v>46</v>
      </c>
      <c r="B33" s="8">
        <v>30</v>
      </c>
    </row>
    <row r="34" spans="1:2" x14ac:dyDescent="0.25">
      <c r="A34" s="7" t="s">
        <v>47</v>
      </c>
      <c r="B34" s="8">
        <v>35</v>
      </c>
    </row>
    <row r="35" spans="1:2" x14ac:dyDescent="0.25">
      <c r="A35" s="7" t="s">
        <v>48</v>
      </c>
      <c r="B35" s="8">
        <v>20</v>
      </c>
    </row>
    <row r="36" spans="1:2" x14ac:dyDescent="0.25">
      <c r="A36" s="7" t="s">
        <v>49</v>
      </c>
      <c r="B36" s="8">
        <v>3</v>
      </c>
    </row>
    <row r="38" spans="1:2" x14ac:dyDescent="0.25">
      <c r="A38" s="6" t="s">
        <v>50</v>
      </c>
      <c r="B38" s="6"/>
    </row>
    <row r="39" spans="1:3" x14ac:dyDescent="0.25">
      <c r="A39" s="7" t="s">
        <v>51</v>
      </c>
      <c r="B39" s="16">
        <f>IF(OR(B32="",B33=""),"falta dato",IF(B32&lt;=0,"falta dato",B33/B32))</f>
      </c>
      <c r="C39" s="10" t="s">
        <v>52</v>
      </c>
    </row>
    <row r="40" spans="1:2" x14ac:dyDescent="0.25">
      <c r="A40" s="7" t="s">
        <v>53</v>
      </c>
      <c r="B40" s="16">
        <f>IF(OR(B34="",B35=""),"falta dato",IF(B34&lt;=0,"falta dato",B35/B34))</f>
      </c>
    </row>
    <row r="41" spans="1:3" x14ac:dyDescent="0.25">
      <c r="A41" s="7" t="s">
        <v>54</v>
      </c>
      <c r="B41" s="16">
        <f>IF(OR(B35="",B36=""),"falta dato",IF(B35&lt;=0,"falta dato",B36/B35))</f>
      </c>
      <c r="C41" s="10" t="s">
        <v>55</v>
      </c>
    </row>
  </sheetData>
  <sheetProtection sheet="1" formatColumns="0" formatRows="0"/>
  <conditionalFormatting sqref="B18:B29">
    <cfRule type="containsText" dxfId="0" priority="1">
      <formula>NOT(ISERROR(SEARCH("falta",B18)))</formula>
    </cfRule>
  </conditionalFormatting>
  <conditionalFormatting sqref="B39:B41">
    <cfRule type="containsText" dxfId="1" priority="2">
      <formula>NOT(ISERROR(SEARCH("falta",B39)))</formula>
    </cfRule>
  </conditionalFormatting>
  <dataValidations count="2">
    <dataValidation type="decimal" operator="greaterThanOrEqual" allowBlank="1" showErrorMessage="1" errorTitle="Número" error="No puede ser negativo." sqref="B32:B36">
      <formula1>0</formula1>
    </dataValidation>
    <dataValidation type="decimal" operator="greaterThanOrEqual" allowBlank="1" showErrorMessage="1" errorTitle="Número" error="No puede ser negativo." sqref="B5:B1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Calculadora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AgroAcademy</dc:creator>
  <dc:title>Calculadora básica de rentabilidad ganadera</dc:title>
  <dc:subject/>
  <dc:description/>
  <cp:keywords/>
  <cp:category/>
  <cp:lastModifiedBy>Unknown</cp:lastModifiedBy>
  <dcterms:created xsi:type="dcterms:W3CDTF">2026-10-05T03:44:05Z</dcterms:created>
  <dcterms:modified xsi:type="dcterms:W3CDTF">2026-10-05T03:44:05Z</dcterms:modified>
</cp:coreProperties>
</file>